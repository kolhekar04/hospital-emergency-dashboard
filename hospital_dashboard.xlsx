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xml" ContentType="application/vnd.openxmlformats-officedocument.drawing+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5.xml" ContentType="application/vnd.openxmlformats-officedocument.drawing+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indianinstituteoftechnol299-my.sharepoint.com/personal/23je0123_iitism_ac_in/Documents/"/>
    </mc:Choice>
  </mc:AlternateContent>
  <xr:revisionPtr revIDLastSave="1349" documentId="8_{5D63D2C9-FD29-490E-BE13-2223B5357A2A}" xr6:coauthVersionLast="47" xr6:coauthVersionMax="47" xr10:uidLastSave="{C0BCBD49-8EEC-4034-B77A-032ACDA5A2AD}"/>
  <bookViews>
    <workbookView xWindow="-108" yWindow="-108" windowWidth="23256" windowHeight="12456" activeTab="4" xr2:uid="{D6C0264D-AD8F-4C45-B320-F00319BC1EDD}"/>
  </bookViews>
  <sheets>
    <sheet name="Sheet1" sheetId="1" r:id="rId1"/>
    <sheet name="Dashboard" sheetId="2" r:id="rId2"/>
    <sheet name="Daily Total Patients" sheetId="4" r:id="rId3"/>
    <sheet name="Daily Average Wait Time" sheetId="5" r:id="rId4"/>
    <sheet name="Daily Average Score" sheetId="7" r:id="rId5"/>
  </sheets>
  <definedNames>
    <definedName name="Slicer_Date__Month">#N/A</definedName>
    <definedName name="Slicer_Date__Year">#N/A</definedName>
  </definedNames>
  <calcPr calcId="191029"/>
  <pivotCaches>
    <pivotCache cacheId="18" r:id="rId6"/>
    <pivotCache cacheId="21" r:id="rId7"/>
    <pivotCache cacheId="24" r:id="rId8"/>
    <pivotCache cacheId="27" r:id="rId9"/>
    <pivotCache cacheId="30" r:id="rId10"/>
    <pivotCache cacheId="33" r:id="rId11"/>
    <pivotCache cacheId="36" r:id="rId12"/>
    <pivotCache cacheId="39" r:id="rId13"/>
    <pivotCache cacheId="42" r:id="rId14"/>
    <pivotCache cacheId="45" r:id="rId15"/>
    <pivotCache cacheId="48" r:id="rId16"/>
    <pivotCache cacheId="51" r:id="rId17"/>
    <pivotCache cacheId="54" r:id="rId18"/>
    <pivotCache cacheId="57" r:id="rId19"/>
    <pivotCache cacheId="60" r:id="rId20"/>
  </pivotCaches>
  <extLst>
    <ext xmlns:x14="http://schemas.microsoft.com/office/spreadsheetml/2009/9/main" uri="{876F7934-8845-4945-9796-88D515C7AA90}">
      <x14:pivotCaches>
        <pivotCache cacheId="15"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eed05c2-73e2-4117-8a26-7cbcb5847730" name="Hospital Emergency Room Data" connection="Query - Hospital Emergency Room Data"/>
          <x15:modelTable id="Calendar_Table_bd913c7e-eb27-47ba-8ac1-f43daa449617"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V46" i="1" l="1"/>
  <c r="V45" i="1"/>
  <c r="U46" i="1"/>
  <c r="U45" i="1"/>
  <c r="T46" i="1"/>
  <c r="T4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D561CE-98D7-4501-9543-C6EC1D51FE61}" name="Query - Calendar_Table" description="Connection to the 'Calendar_Table' query in the workbook." type="100" refreshedVersion="8" minRefreshableVersion="5">
    <extLst>
      <ext xmlns:x15="http://schemas.microsoft.com/office/spreadsheetml/2010/11/main" uri="{DE250136-89BD-433C-8126-D09CA5730AF9}">
        <x15:connection id="782ccb15-60bc-4877-9801-997c75574ecf"/>
      </ext>
    </extLst>
  </connection>
  <connection id="2" xr16:uid="{8C068445-7557-4CD0-88D9-34771FC7838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3550aadd-401b-4e1b-8b53-c84af3c8c1a0"/>
      </ext>
    </extLst>
  </connection>
  <connection id="3" xr16:uid="{520670D7-96A0-4027-9E8D-4800F544A0C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<sst xmlns="http://schemas.openxmlformats.org/spreadsheetml/2006/main" count="160" uniqueCount="70">
  <si>
    <t>Distinct Count of Patient Id</t>
  </si>
  <si>
    <t>Average of Patient Waittime</t>
  </si>
  <si>
    <t>Average of Patient Satisfaction Score</t>
  </si>
  <si>
    <t>Grand Total</t>
  </si>
  <si>
    <t>Count of Patient Id</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</si>
  <si>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</si>
  <si>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</si>
  <si>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</si>
  <si>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</si>
  <si>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</si>
  <si>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</si>
  <si>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</si>
  <si>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</si>
  <si>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</si>
  <si>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</si>
  <si>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</si>
  <si>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</si>
  <si>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</si>
  <si>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</si>
  <si>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</si>
  <si>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</si>
  <si>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</si>
  <si>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</si>
  <si>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</si>
  <si>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</si>
  <si>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</si>
  <si>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</si>
  <si>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</si>
  <si>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</si>
  <si>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</si>
  <si>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</si>
  <si>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</si>
  <si>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</si>
  <si>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</si>
  <si>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</si>
  <si>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</si>
  <si>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Row Labels</t>
  </si>
  <si>
    <t>0-9</t>
  </si>
  <si>
    <t>10-19</t>
  </si>
  <si>
    <t>20-29</t>
  </si>
  <si>
    <t>30-39</t>
  </si>
  <si>
    <t>50-59</t>
  </si>
  <si>
    <t>60-69</t>
  </si>
  <si>
    <t>Male</t>
  </si>
  <si>
    <t>None</t>
  </si>
  <si>
    <t>Admitted</t>
  </si>
  <si>
    <t>On Time</t>
  </si>
  <si>
    <t>Female</t>
  </si>
  <si>
    <t>Not Admitted</t>
  </si>
  <si>
    <t>Delay</t>
  </si>
  <si>
    <t>General Practice</t>
  </si>
  <si>
    <t>Orthopedics</t>
  </si>
  <si>
    <t>Cardiology</t>
  </si>
  <si>
    <t>Neurology</t>
  </si>
  <si>
    <t>Count of Patient Admission Flag</t>
  </si>
  <si>
    <t>Count of Patient Admission Flag2</t>
  </si>
  <si>
    <t>Admission Status</t>
  </si>
  <si>
    <t>%Status</t>
  </si>
  <si>
    <t xml:space="preserve"> Patient</t>
  </si>
  <si>
    <t>40-49</t>
  </si>
  <si>
    <t>70-79</t>
  </si>
  <si>
    <t>Count of Age Group</t>
  </si>
  <si>
    <t>Count of Patient Gender</t>
  </si>
  <si>
    <t>Gastroenterology</t>
  </si>
  <si>
    <t>Physiotherapy</t>
  </si>
  <si>
    <t>Renal</t>
  </si>
  <si>
    <t>2023</t>
  </si>
  <si>
    <t>2024</t>
  </si>
  <si>
    <t>Qtr1</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</si>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</sst>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color theme="1"/>
      <name val="Aptos Narrow"/>
      <family val="2"/>
      <scheme val="minor"/>
    </font>
    <font>
      <sz val="11"/>
      <color theme="1"/>
      <name val="Inter"/>
    </font>
    <font>
      <u/>
      <sz val="11"/>
      <color theme="10"/>
      <name val="Aptos Narrow"/>
      <family val="2"/>
      <scheme val="minor"/>
    </font>
  </fonts>
  <fills count="4">
    <fill>
      <patternFill patternType="none"/>
    </fill>
    <fill>
      <patternFill patternType="gray125"/>
    </fill>
    <fill>
      <patternFill patternType="solid">
        <fgColor rgb="FFF8FAFC"/>
        <bgColor indexed="64"/>
      </patternFill>
    </fill>
    <fill>
      <patternFill patternType="solid">
        <fgColor theme="4" tint="0.79998168889431442"/>
        <bgColor indexed="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2" fontId="0" fillId="0" borderId="0" xfId="0" applyNumberFormat="1"/>
    <xf numFmtId="0" fontId="1" fillId="2" borderId="0" xfId="0" applyFont="1" applyFill="1"/>
    <xf numFmtId="0" fontId="0" fillId="0" borderId="0" xfId="0" applyAlignment="1">
      <alignment horizontal="left"/>
    </xf>
    <xf numFmtId="0" fontId="0" fillId="0" borderId="0" xfId="0" pivotButton="1"/>
    <xf numFmtId="10" fontId="0" fillId="0" borderId="0" xfId="0" applyNumberFormat="1"/>
    <xf numFmtId="0" fontId="0" fillId="3" borderId="0" xfId="0" applyFill="1"/>
    <xf numFmtId="10" fontId="0" fillId="3" borderId="0" xfId="0" applyNumberFormat="1" applyFill="1"/>
    <xf numFmtId="0" fontId="0" fillId="3" borderId="0" xfId="0" applyFill="1" applyAlignment="1">
      <alignment horizontal="center"/>
    </xf>
    <xf numFmtId="0" fontId="0" fillId="0" borderId="1" xfId="0" applyBorder="1"/>
    <xf numFmtId="0" fontId="0" fillId="0" borderId="0" xfId="0" applyAlignment="1">
      <alignment horizontal="left" indent="1"/>
    </xf>
    <xf numFmtId="0" fontId="0" fillId="0" borderId="0" xfId="0" applyAlignment="1">
      <alignment horizontal="left" indent="2"/>
    </xf>
    <xf numFmtId="14" fontId="0" fillId="0" borderId="0" xfId="0" applyNumberFormat="1" applyAlignment="1">
      <alignment horizontal="left" indent="3"/>
    </xf>
    <xf numFmtId="14" fontId="0" fillId="0" borderId="0" xfId="0" applyNumberFormat="1" applyAlignment="1">
      <alignment horizontal="left"/>
    </xf>
    <xf numFmtId="0" fontId="2" fillId="0" borderId="0" xfId="1" quotePrefix="1"/>
    <xf numFmtId="0" fontId="0" fillId="0" borderId="0" xfId="0" applyNumberFormat="1"/>
  </cellXfs>
  <cellStyles count="2">
    <cellStyle name="Hyperlink" xfId="1" builtinId="8"/>
    <cellStyle name="Normal" xfId="0" builtinId="0"/>
  </cellStyles>
  <dxfs count="13">
    <dxf>
      <numFmt numFmtId="164" formatCode="0.000000"/>
    </dxf>
    <dxf>
      <numFmt numFmtId="2" formatCode="0.00"/>
    </dxf>
    <dxf>
      <numFmt numFmtId="164" formatCode="0.000000"/>
    </dxf>
    <dxf>
      <numFmt numFmtId="2" formatCode="0.00"/>
    </dxf>
    <dxf>
      <numFmt numFmtId="2" formatCode="0.00"/>
    </dxf>
    <dxf>
      <numFmt numFmtId="2" formatCode="0.00"/>
    </dxf>
    <dxf>
      <numFmt numFmtId="2" formatCode="0.00"/>
    </dxf>
    <dxf>
      <numFmt numFmtId="2" formatCode="0.00"/>
    </dxf>
    <dxf>
      <numFmt numFmtId="164" formatCode="0.000000"/>
    </dxf>
    <dxf>
      <numFmt numFmtId="2" formatCode="0.00"/>
    </dxf>
    <dxf>
      <numFmt numFmtId="164" formatCode="0.000000"/>
    </dxf>
    <dxf>
      <numFmt numFmtId="2" formatCode="0.00"/>
    </dxf>
    <dxf>
      <font>
        <color theme="3" tint="0.89996032593768116"/>
      </font>
    </dxf>
  </dxfs>
  <tableStyles count="1" defaultTableStyle="TableStyleMedium2" defaultPivotStyle="PivotStyleLight16">
    <tableStyle name="Slicer Style 1" pivot="0" table="0" count="1" xr9:uid="{D3250E9E-7808-4DF8-ABB4-F9F1B7C0B4B5}">
      <tableStyleElement type="headerRow" dxfId="12"/>
    </tableStyle>
  </tableStyles>
  <colors>
    <mruColors>
      <color rgb="FFF8FAF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tyles" Target="styles.xml"/><Relationship Id="rId39" Type="http://schemas.openxmlformats.org/officeDocument/2006/relationships/customXml" Target="../customXml/item6.xml"/><Relationship Id="rId21" Type="http://schemas.openxmlformats.org/officeDocument/2006/relationships/pivotCacheDefinition" Target="pivotCache/pivotCacheDefinition16.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microsoft.com/office/2017/06/relationships/rdRichValue" Target="richData/rdrichvalue.xml"/><Relationship Id="rId11" Type="http://schemas.openxmlformats.org/officeDocument/2006/relationships/pivotCacheDefinition" Target="pivotCache/pivotCacheDefinition6.xml"/><Relationship Id="rId24" Type="http://schemas.openxmlformats.org/officeDocument/2006/relationships/theme" Target="theme/theme1.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07/relationships/slicerCache" Target="slicerCaches/slicerCache2.xml"/><Relationship Id="rId28" Type="http://schemas.openxmlformats.org/officeDocument/2006/relationships/sheetMetadata" Target="metadata.xml"/><Relationship Id="rId36" Type="http://schemas.openxmlformats.org/officeDocument/2006/relationships/customXml" Target="../customXml/item3.xml"/><Relationship Id="rId49" Type="http://schemas.openxmlformats.org/officeDocument/2006/relationships/customXml" Target="../customXml/item16.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microsoft.com/office/2017/06/relationships/rdRichValueTypes" Target="richData/rdRichValueTypes.xml"/><Relationship Id="rId44"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1.xml"/><Relationship Id="rId27" Type="http://schemas.openxmlformats.org/officeDocument/2006/relationships/sharedStrings" Target="sharedStrings.xml"/><Relationship Id="rId30" Type="http://schemas.microsoft.com/office/2017/06/relationships/rdRichValueStructure" Target="richData/rdrichvaluestructure.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8" Type="http://schemas.openxmlformats.org/officeDocument/2006/relationships/pivotCacheDefinition" Target="pivotCache/pivotCacheDefinition3.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onnections" Target="connections.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20" Type="http://schemas.openxmlformats.org/officeDocument/2006/relationships/pivotCacheDefinition" Target="pivotCache/pivotCacheDefinition15.xml"/><Relationship Id="rId41"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[hospital_dashboard.xlsx]Sheet1!PivotTable4</c:name>
    <c:fmtId val="0"/>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7.7030812324929976E-2"/>
          <c:y val="0.1870748299319728"/>
          <c:w val="0.84593837535014005"/>
          <c:h val="0.62585034013605445"/>
        </c:manualLayout>
      </c:layout>
      <c:areaChart>
        <c:grouping val="standard"/>
        <c:varyColors val="0"/>
        <c:ser>
          <c:idx val="0"/>
          <c:order val="0"/>
          <c:tx>
            <c:strRef>
              <c:f>Sheet1!$E$5</c:f>
              <c:strCache>
                <c:ptCount val="1"/>
                <c:pt idx="0">
                  <c:v>Total</c:v>
                </c:pt>
              </c:strCache>
            </c:strRef>
          </c:tx>
          <c:spPr>
            <a:solidFill>
              <a:schemeClr val="accent1"/>
            </a:solidFill>
            <a:ln>
              <a:noFill/>
            </a:ln>
            <a:effectLst/>
          </c:spPr>
          <c:cat>
            <c:strRef>
              <c:f>Sheet1!$D$6:$D$37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Sheet1!$E$6:$E$37</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0-4CB2-45E4-9C22-17106B4FF5D4}"/>
            </c:ext>
          </c:extLst>
        </c:ser>
        <c:dLbls>
          <c:showLegendKey val="0"/>
          <c:showVal val="0"/>
          <c:showCatName val="0"/>
          <c:showSerName val="0"/>
          <c:showPercent val="0"/>
          <c:showBubbleSize val="0"/>
        </c:dLbls>
        <c:axId val="2121530192"/>
        <c:axId val="2073539440"/>
      </c:areaChart>
      <c:catAx>
        <c:axId val="2121530192"/>
        <c:scaling>
          <c:orientation val="minMax"/>
        </c:scaling>
        <c:delete val="1"/>
        <c:axPos val="b"/>
        <c:numFmt formatCode="General" sourceLinked="1"/>
        <c:majorTickMark val="out"/>
        <c:minorTickMark val="none"/>
        <c:tickLblPos val="nextTo"/>
        <c:crossAx val="2073539440"/>
        <c:crosses val="autoZero"/>
        <c:auto val="1"/>
        <c:lblAlgn val="ctr"/>
        <c:lblOffset val="100"/>
        <c:noMultiLvlLbl val="0"/>
      </c:catAx>
      <c:valAx>
        <c:axId val="2073539440"/>
        <c:scaling>
          <c:orientation val="minMax"/>
        </c:scaling>
        <c:delete val="1"/>
        <c:axPos val="l"/>
        <c:numFmt formatCode="General" sourceLinked="1"/>
        <c:majorTickMark val="none"/>
        <c:minorTickMark val="none"/>
        <c:tickLblPos val="nextTo"/>
        <c:crossAx val="2121530192"/>
        <c:crosses val="autoZero"/>
        <c:crossBetween val="midCat"/>
      </c:valAx>
      <c:spPr>
        <a:noFill/>
        <a:ln w="25400">
          <a:noFill/>
        </a:ln>
        <a:effectLst/>
      </c:spPr>
    </c:plotArea>
    <c:plotVisOnly val="1"/>
    <c:dispBlanksAs val="zero"/>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[hospital_dashboard.xlsx]Sheet1!PivotTable7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Sheet1!$M$6</c:f>
              <c:strCache>
                <c:ptCount val="1"/>
                <c:pt idx="0">
                  <c:v>Total</c:v>
                </c:pt>
              </c:strCache>
            </c:strRef>
          </c:tx>
          <c:spPr>
            <a:solidFill>
              <a:schemeClr val="accent1"/>
            </a:solidFill>
            <a:ln>
              <a:noFill/>
            </a:ln>
            <a:effectLst/>
          </c:spPr>
          <c:cat>
            <c:strRef>
              <c:f>Sheet1!$L$7:$L$38</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Sheet1!$M$7:$M$38</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0-0277-4C93-B118-B2EC26D95CAD}"/>
            </c:ext>
          </c:extLst>
        </c:ser>
        <c:dLbls>
          <c:showLegendKey val="0"/>
          <c:showVal val="0"/>
          <c:showCatName val="0"/>
          <c:showSerName val="0"/>
          <c:showPercent val="0"/>
          <c:showBubbleSize val="0"/>
        </c:dLbls>
        <c:axId val="963416976"/>
        <c:axId val="840381680"/>
      </c:areaChart>
      <c:catAx>
        <c:axId val="9634169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381680"/>
        <c:crosses val="autoZero"/>
        <c:auto val="1"/>
        <c:lblAlgn val="ctr"/>
        <c:lblOffset val="100"/>
        <c:noMultiLvlLbl val="0"/>
      </c:catAx>
      <c:valAx>
        <c:axId val="8403816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4169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[hospital_dashboard.xlsx]Sheet1!PivotTable8</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Sheet1!$P$6</c:f>
              <c:strCache>
                <c:ptCount val="1"/>
                <c:pt idx="0">
                  <c:v>Total</c:v>
                </c:pt>
              </c:strCache>
            </c:strRef>
          </c:tx>
          <c:spPr>
            <a:solidFill>
              <a:schemeClr val="accent1"/>
            </a:solidFill>
            <a:ln>
              <a:noFill/>
            </a:ln>
            <a:effectLst/>
          </c:spPr>
          <c:cat>
            <c:strRef>
              <c:f>Sheet1!$O$7:$O$38</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Sheet1!$P$7:$P$38</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0-4421-4C08-89EA-65A63550E89C}"/>
            </c:ext>
          </c:extLst>
        </c:ser>
        <c:dLbls>
          <c:showLegendKey val="0"/>
          <c:showVal val="0"/>
          <c:showCatName val="0"/>
          <c:showSerName val="0"/>
          <c:showPercent val="0"/>
          <c:showBubbleSize val="0"/>
        </c:dLbls>
        <c:axId val="932044688"/>
        <c:axId val="840372080"/>
      </c:areaChart>
      <c:catAx>
        <c:axId val="932044688"/>
        <c:scaling>
          <c:orientation val="minMax"/>
        </c:scaling>
        <c:delete val="1"/>
        <c:axPos val="b"/>
        <c:numFmt formatCode="General" sourceLinked="1"/>
        <c:majorTickMark val="out"/>
        <c:minorTickMark val="none"/>
        <c:tickLblPos val="nextTo"/>
        <c:crossAx val="840372080"/>
        <c:crosses val="autoZero"/>
        <c:auto val="1"/>
        <c:lblAlgn val="ctr"/>
        <c:lblOffset val="100"/>
        <c:noMultiLvlLbl val="0"/>
      </c:catAx>
      <c:valAx>
        <c:axId val="840372080"/>
        <c:scaling>
          <c:orientation val="minMax"/>
        </c:scaling>
        <c:delete val="1"/>
        <c:axPos val="l"/>
        <c:numFmt formatCode="0.00" sourceLinked="1"/>
        <c:majorTickMark val="none"/>
        <c:minorTickMark val="none"/>
        <c:tickLblPos val="nextTo"/>
        <c:crossAx val="9320446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[hospital_dashboard.xlsx]Sheet1!PivotTable9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Sheet1!$S$14</c:f>
              <c:strCache>
                <c:ptCount val="1"/>
                <c:pt idx="0">
                  <c:v>Count of Patient Admission Flag</c:v>
                </c:pt>
              </c:strCache>
            </c:strRef>
          </c:tx>
          <c:spPr>
            <a:solidFill>
              <a:schemeClr val="accent1"/>
            </a:solidFill>
            <a:ln>
              <a:noFill/>
            </a:ln>
            <a:effectLst/>
          </c:spPr>
          <c:invertIfNegative val="0"/>
          <c:cat>
            <c:strRef>
              <c:f>Sheet1!$R$15:$R$17</c:f>
              <c:strCache>
                <c:ptCount val="2"/>
                <c:pt idx="0">
                  <c:v>Admitted</c:v>
                </c:pt>
                <c:pt idx="1">
                  <c:v>Not Admitted</c:v>
                </c:pt>
              </c:strCache>
            </c:strRef>
          </c:cat>
          <c:val>
            <c:numRef>
              <c:f>Sheet1!$S$15:$S$17</c:f>
              <c:numCache>
                <c:formatCode>General</c:formatCode>
                <c:ptCount val="2"/>
                <c:pt idx="0">
                  <c:v>253</c:v>
                </c:pt>
                <c:pt idx="1">
                  <c:v>253</c:v>
                </c:pt>
              </c:numCache>
            </c:numRef>
          </c:val>
          <c:extLst>
            <c:ext xmlns:c16="http://schemas.microsoft.com/office/drawing/2014/chart" uri="{C3380CC4-5D6E-409C-BE32-E72D297353CC}">
              <c16:uniqueId val="{00000000-1511-40F1-9031-94474C4D57E3}"/>
            </c:ext>
          </c:extLst>
        </c:ser>
        <c:ser>
          <c:idx val="1"/>
          <c:order val="1"/>
          <c:tx>
            <c:strRef>
              <c:f>Sheet1!$T$14</c:f>
              <c:strCache>
                <c:ptCount val="1"/>
                <c:pt idx="0">
                  <c:v>Count of Patient Admission Flag2</c:v>
                </c:pt>
              </c:strCache>
            </c:strRef>
          </c:tx>
          <c:spPr>
            <a:solidFill>
              <a:schemeClr val="accent2"/>
            </a:solidFill>
            <a:ln>
              <a:noFill/>
            </a:ln>
            <a:effectLst/>
          </c:spPr>
          <c:invertIfNegative val="0"/>
          <c:cat>
            <c:strRef>
              <c:f>Sheet1!$R$15:$R$17</c:f>
              <c:strCache>
                <c:ptCount val="2"/>
                <c:pt idx="0">
                  <c:v>Admitted</c:v>
                </c:pt>
                <c:pt idx="1">
                  <c:v>Not Admitted</c:v>
                </c:pt>
              </c:strCache>
            </c:strRef>
          </c:cat>
          <c:val>
            <c:numRef>
              <c:f>Sheet1!$T$15:$T$17</c:f>
              <c:numCache>
                <c:formatCode>0.00%</c:formatCode>
                <c:ptCount val="2"/>
                <c:pt idx="0">
                  <c:v>0.5</c:v>
                </c:pt>
                <c:pt idx="1">
                  <c:v>0.5</c:v>
                </c:pt>
              </c:numCache>
            </c:numRef>
          </c:val>
          <c:extLst>
            <c:ext xmlns:c16="http://schemas.microsoft.com/office/drawing/2014/chart" uri="{C3380CC4-5D6E-409C-BE32-E72D297353CC}">
              <c16:uniqueId val="{00000001-1511-40F1-9031-94474C4D57E3}"/>
            </c:ext>
          </c:extLst>
        </c:ser>
        <c:dLbls>
          <c:showLegendKey val="0"/>
          <c:showVal val="0"/>
          <c:showCatName val="0"/>
          <c:showSerName val="0"/>
          <c:showPercent val="0"/>
          <c:showBubbleSize val="0"/>
        </c:dLbls>
        <c:gapWidth val="182"/>
        <c:axId val="931949568"/>
        <c:axId val="840271760"/>
      </c:barChart>
      <c:catAx>
        <c:axId val="931949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271760"/>
        <c:crosses val="autoZero"/>
        <c:auto val="1"/>
        <c:lblAlgn val="ctr"/>
        <c:lblOffset val="100"/>
        <c:noMultiLvlLbl val="0"/>
      </c:catAx>
      <c:valAx>
        <c:axId val="840271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94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[hospital_dashboard.xlsx]Sheet1!PivotTable5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48A4325-4E0B-4593-B7FD-B0EE5BFD2AE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E990FCE-BAC4-43A7-A715-28DC3D97BB2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0.3789131261419178"/>
          <c:y val="0.22088353413654618"/>
          <c:w val="0.56808334028917762"/>
          <c:h val="0.55823293172690758"/>
        </c:manualLayout>
      </c:layout>
      <c:barChart>
        <c:barDir val="bar"/>
        <c:grouping val="clustered"/>
        <c:varyColors val="0"/>
        <c:ser>
          <c:idx val="0"/>
          <c:order val="0"/>
          <c:tx>
            <c:strRef>
              <c:f>Sheet1!$U$29:$U$30</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76EE-4CA5-AEFE-0388D889282E}"/>
              </c:ext>
            </c:extLst>
          </c:dPt>
          <c:dPt>
            <c:idx val="1"/>
            <c:invertIfNegative val="0"/>
            <c:bubble3D val="0"/>
            <c:extLst>
              <c:ext xmlns:c16="http://schemas.microsoft.com/office/drawing/2014/chart" uri="{C3380CC4-5D6E-409C-BE32-E72D297353CC}">
                <c16:uniqueId val="{00000004-76EE-4CA5-AEFE-0388D889282E}"/>
              </c:ext>
            </c:extLst>
          </c:dPt>
          <c:dLbls>
            <c:dLbl>
              <c:idx val="0"/>
              <c:tx>
                <c:rich>
                  <a:bodyPr/>
                  <a:lstStyle/>
                  <a:p>
                    <a:fld id="{C48A4325-4E0B-4593-B7FD-B0EE5BFD2AE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76EE-4CA5-AEFE-0388D889282E}"/>
                </c:ext>
              </c:extLst>
            </c:dLbl>
            <c:dLbl>
              <c:idx val="1"/>
              <c:tx>
                <c:rich>
                  <a:bodyPr/>
                  <a:lstStyle/>
                  <a:p>
                    <a:fld id="{9E990FCE-BAC4-43A7-A715-28DC3D97BB2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76EE-4CA5-AEFE-0388D889282E}"/>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Sheet1!$U$29:$U$30</c:f>
              <c:strCache>
                <c:ptCount val="2"/>
                <c:pt idx="0">
                  <c:v>Admitted</c:v>
                </c:pt>
                <c:pt idx="1">
                  <c:v>Not Admitted</c:v>
                </c:pt>
              </c:strCache>
            </c:strRef>
          </c:cat>
          <c:val>
            <c:numRef>
              <c:f>Sheet1!$U$29:$U$30</c:f>
              <c:numCache>
                <c:formatCode>General</c:formatCode>
                <c:ptCount val="2"/>
                <c:pt idx="0">
                  <c:v>253</c:v>
                </c:pt>
                <c:pt idx="1">
                  <c:v>253</c:v>
                </c:pt>
              </c:numCache>
            </c:numRef>
          </c:val>
          <c:extLst>
            <c:ext xmlns:c15="http://schemas.microsoft.com/office/drawing/2012/chart" uri="{02D57815-91ED-43cb-92C2-25804820EDAC}">
              <c15:datalabelsRange>
                <c15:f>Sheet1!$U$29:$U$30</c15:f>
                <c15:dlblRangeCache>
                  <c:ptCount val="2"/>
                  <c:pt idx="0">
                    <c:v>50.00%</c:v>
                  </c:pt>
                  <c:pt idx="1">
                    <c:v>50.00%</c:v>
                  </c:pt>
                </c15:dlblRangeCache>
              </c15:datalabelsRange>
            </c:ext>
            <c:ext xmlns:c16="http://schemas.microsoft.com/office/drawing/2014/chart" uri="{C3380CC4-5D6E-409C-BE32-E72D297353CC}">
              <c16:uniqueId val="{00000000-76EE-4CA5-AEFE-0388D889282E}"/>
            </c:ext>
          </c:extLst>
        </c:ser>
        <c:ser>
          <c:idx val="1"/>
          <c:order val="1"/>
          <c:tx>
            <c:strRef>
              <c:f>Sheet1!$U$29:$U$30</c:f>
              <c:strCache>
                <c:ptCount val="1"/>
                <c:pt idx="0">
                  <c:v>Count of Patient Admission Flag2</c:v>
                </c:pt>
              </c:strCache>
            </c:strRef>
          </c:tx>
          <c:spPr>
            <a:solidFill>
              <a:schemeClr val="accent2"/>
            </a:solidFill>
            <a:ln>
              <a:noFill/>
            </a:ln>
            <a:effectLst/>
          </c:spPr>
          <c:invertIfNegative val="0"/>
          <c:cat>
            <c:strRef>
              <c:f>Sheet1!$U$29:$U$30</c:f>
              <c:strCache>
                <c:ptCount val="2"/>
                <c:pt idx="0">
                  <c:v>Admitted</c:v>
                </c:pt>
                <c:pt idx="1">
                  <c:v>Not Admitted</c:v>
                </c:pt>
              </c:strCache>
            </c:strRef>
          </c:cat>
          <c:val>
            <c:numRef>
              <c:f>Sheet1!$U$29:$U$30</c:f>
              <c:numCache>
                <c:formatCode>0.00%</c:formatCode>
                <c:ptCount val="2"/>
                <c:pt idx="0">
                  <c:v>0.5</c:v>
                </c:pt>
                <c:pt idx="1">
                  <c:v>0.5</c:v>
                </c:pt>
              </c:numCache>
            </c:numRef>
          </c:val>
          <c:extLst>
            <c:ext xmlns:c16="http://schemas.microsoft.com/office/drawing/2014/chart" uri="{C3380CC4-5D6E-409C-BE32-E72D297353CC}">
              <c16:uniqueId val="{00000001-76EE-4CA5-AEFE-0388D889282E}"/>
            </c:ext>
          </c:extLst>
        </c:ser>
        <c:dLbls>
          <c:showLegendKey val="0"/>
          <c:showVal val="0"/>
          <c:showCatName val="0"/>
          <c:showSerName val="0"/>
          <c:showPercent val="0"/>
          <c:showBubbleSize val="0"/>
        </c:dLbls>
        <c:gapWidth val="93"/>
        <c:overlap val="61"/>
        <c:axId val="196618784"/>
        <c:axId val="1976142671"/>
      </c:barChart>
      <c:catAx>
        <c:axId val="196618784"/>
        <c:scaling>
          <c:orientation val="minMax"/>
        </c:scaling>
        <c:delete val="1"/>
        <c:axPos val="l"/>
        <c:numFmt formatCode="General" sourceLinked="1"/>
        <c:majorTickMark val="none"/>
        <c:minorTickMark val="none"/>
        <c:tickLblPos val="nextTo"/>
        <c:crossAx val="1976142671"/>
        <c:crosses val="autoZero"/>
        <c:auto val="1"/>
        <c:lblAlgn val="ctr"/>
        <c:lblOffset val="100"/>
        <c:noMultiLvlLbl val="0"/>
      </c:catAx>
      <c:valAx>
        <c:axId val="1976142671"/>
        <c:scaling>
          <c:orientation val="minMax"/>
        </c:scaling>
        <c:delete val="1"/>
        <c:axPos val="b"/>
        <c:numFmt formatCode="General" sourceLinked="1"/>
        <c:majorTickMark val="none"/>
        <c:minorTickMark val="none"/>
        <c:tickLblPos val="nextTo"/>
        <c:crossAx val="19661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[hospital_dashboard.xlsx]Sheet1!PivotTable10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Sheet1!$S$87</c:f>
              <c:strCache>
                <c:ptCount val="1"/>
                <c:pt idx="0">
                  <c:v>Total</c:v>
                </c:pt>
              </c:strCache>
            </c:strRef>
          </c:tx>
          <c:spPr>
            <a:solidFill>
              <a:schemeClr val="accent1"/>
            </a:solidFill>
            <a:ln>
              <a:noFill/>
            </a:ln>
            <a:effectLst/>
          </c:spPr>
          <c:invertIfNegative val="0"/>
          <c:cat>
            <c:strRef>
              <c:f>Sheet1!$R$88:$R$96</c:f>
              <c:strCache>
                <c:ptCount val="8"/>
                <c:pt idx="0">
                  <c:v>0-9</c:v>
                </c:pt>
                <c:pt idx="1">
                  <c:v>10-19</c:v>
                </c:pt>
                <c:pt idx="2">
                  <c:v>20-29</c:v>
                </c:pt>
                <c:pt idx="3">
                  <c:v>30-39</c:v>
                </c:pt>
                <c:pt idx="4">
                  <c:v>40-49</c:v>
                </c:pt>
                <c:pt idx="5">
                  <c:v>50-59</c:v>
                </c:pt>
                <c:pt idx="6">
                  <c:v>60-69</c:v>
                </c:pt>
                <c:pt idx="7">
                  <c:v>70-79</c:v>
                </c:pt>
              </c:strCache>
            </c:strRef>
          </c:cat>
          <c:val>
            <c:numRef>
              <c:f>Sheet1!$S$88:$S$96</c:f>
              <c:numCache>
                <c:formatCode>General</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0-2811-48CA-A4BA-EAF93FA6C4FF}"/>
            </c:ext>
          </c:extLst>
        </c:ser>
        <c:dLbls>
          <c:showLegendKey val="0"/>
          <c:showVal val="0"/>
          <c:showCatName val="0"/>
          <c:showSerName val="0"/>
          <c:showPercent val="0"/>
          <c:showBubbleSize val="0"/>
        </c:dLbls>
        <c:gapWidth val="219"/>
        <c:overlap val="-27"/>
        <c:axId val="1195762768"/>
        <c:axId val="1976080751"/>
      </c:barChart>
      <c:catAx>
        <c:axId val="119576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080751"/>
        <c:crosses val="autoZero"/>
        <c:auto val="1"/>
        <c:lblAlgn val="ctr"/>
        <c:lblOffset val="100"/>
        <c:noMultiLvlLbl val="0"/>
      </c:catAx>
      <c:valAx>
        <c:axId val="1976080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76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[hospital_dashboard.xlsx]Sheet1!PivotTable12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Sheet1!$F$44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57-4724-8D6D-04547F6C27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57-4724-8D6D-04547F6C27AF}"/>
              </c:ext>
            </c:extLst>
          </c:dPt>
          <c:cat>
            <c:strRef>
              <c:f>Sheet1!$E$45:$E$47</c:f>
              <c:strCache>
                <c:ptCount val="2"/>
                <c:pt idx="0">
                  <c:v>Female</c:v>
                </c:pt>
                <c:pt idx="1">
                  <c:v>Male</c:v>
                </c:pt>
              </c:strCache>
            </c:strRef>
          </c:cat>
          <c:val>
            <c:numRef>
              <c:f>Sheet1!$F$45:$F$47</c:f>
              <c:numCache>
                <c:formatCode>General</c:formatCode>
                <c:ptCount val="2"/>
                <c:pt idx="0">
                  <c:v>231</c:v>
                </c:pt>
                <c:pt idx="1">
                  <c:v>275</c:v>
                </c:pt>
              </c:numCache>
            </c:numRef>
          </c:val>
          <c:extLst>
            <c:ext xmlns:c16="http://schemas.microsoft.com/office/drawing/2014/chart" uri="{C3380CC4-5D6E-409C-BE32-E72D297353CC}">
              <c16:uniqueId val="{00000000-D7E4-41FD-B0FE-9C600E327C9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[hospital_dashboard.xlsx]Sheet1!PivotTable15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454545454545456E-2"/>
          <c:y val="9.8039215686274508E-2"/>
          <c:w val="0.91666666666666663"/>
          <c:h val="0.83408748114630471"/>
        </c:manualLayout>
      </c:layout>
      <c:areaChart>
        <c:grouping val="standard"/>
        <c:varyColors val="0"/>
        <c:ser>
          <c:idx val="0"/>
          <c:order val="0"/>
          <c:tx>
            <c:strRef>
              <c:f>Sheet1!$G$208</c:f>
              <c:strCache>
                <c:ptCount val="1"/>
                <c:pt idx="0">
                  <c:v>Total</c:v>
                </c:pt>
              </c:strCache>
            </c:strRef>
          </c:tx>
          <c:spPr>
            <a:solidFill>
              <a:schemeClr val="accent1"/>
            </a:solidFill>
            <a:ln>
              <a:noFill/>
            </a:ln>
            <a:effectLst/>
          </c:spPr>
          <c:cat>
            <c:strRef>
              <c:f>Sheet1!$F$209:$F$240</c:f>
              <c:strCache>
                <c:ptCount val="31"/>
                <c:pt idx="0">
                  <c:v>3/1/2024</c:v>
                </c:pt>
                <c:pt idx="1">
                  <c:v>3/2/2024</c:v>
                </c:pt>
                <c:pt idx="2">
                  <c:v>3/3/2024</c:v>
                </c:pt>
                <c:pt idx="3">
                  <c:v>3/4/2024</c:v>
                </c:pt>
                <c:pt idx="4">
                  <c:v>3/5/2024</c:v>
                </c:pt>
                <c:pt idx="5">
                  <c:v>3/6/2024</c:v>
                </c:pt>
                <c:pt idx="6">
                  <c:v>3/7/2024</c:v>
                </c:pt>
                <c:pt idx="7">
                  <c:v>3/8/2024</c:v>
                </c:pt>
                <c:pt idx="8">
                  <c:v>3/9/2024</c:v>
                </c:pt>
                <c:pt idx="9">
                  <c:v>3/10/2024</c:v>
                </c:pt>
                <c:pt idx="10">
                  <c:v>3/11/2024</c:v>
                </c:pt>
                <c:pt idx="11">
                  <c:v>3/12/2024</c:v>
                </c:pt>
                <c:pt idx="12">
                  <c:v>3/13/2024</c:v>
                </c:pt>
                <c:pt idx="13">
                  <c:v>3/14/2024</c:v>
                </c:pt>
                <c:pt idx="14">
                  <c:v>3/15/2024</c:v>
                </c:pt>
                <c:pt idx="15">
                  <c:v>3/16/2024</c:v>
                </c:pt>
                <c:pt idx="16">
                  <c:v>3/17/2024</c:v>
                </c:pt>
                <c:pt idx="17">
                  <c:v>3/18/2024</c:v>
                </c:pt>
                <c:pt idx="18">
                  <c:v>3/19/2024</c:v>
                </c:pt>
                <c:pt idx="19">
                  <c:v>3/20/2024</c:v>
                </c:pt>
                <c:pt idx="20">
                  <c:v>3/21/2024</c:v>
                </c:pt>
                <c:pt idx="21">
                  <c:v>3/22/2024</c:v>
                </c:pt>
                <c:pt idx="22">
                  <c:v>3/23/2024</c:v>
                </c:pt>
                <c:pt idx="23">
                  <c:v>3/24/2024</c:v>
                </c:pt>
                <c:pt idx="24">
                  <c:v>3/25/2024</c:v>
                </c:pt>
                <c:pt idx="25">
                  <c:v>3/26/2024</c:v>
                </c:pt>
                <c:pt idx="26">
                  <c:v>3/27/2024</c:v>
                </c:pt>
                <c:pt idx="27">
                  <c:v>3/28/2024</c:v>
                </c:pt>
                <c:pt idx="28">
                  <c:v>3/29/2024</c:v>
                </c:pt>
                <c:pt idx="29">
                  <c:v>3/30/2024</c:v>
                </c:pt>
                <c:pt idx="30">
                  <c:v>3/31/2024</c:v>
                </c:pt>
              </c:strCache>
            </c:strRef>
          </c:cat>
          <c:val>
            <c:numRef>
              <c:f>Sheet1!$G$209:$G$240</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0-78F1-4B91-8845-5A064A83628C}"/>
            </c:ext>
          </c:extLst>
        </c:ser>
        <c:dLbls>
          <c:showLegendKey val="0"/>
          <c:showVal val="0"/>
          <c:showCatName val="0"/>
          <c:showSerName val="0"/>
          <c:showPercent val="0"/>
          <c:showBubbleSize val="0"/>
        </c:dLbls>
        <c:axId val="21394255"/>
        <c:axId val="1750851952"/>
      </c:areaChart>
      <c:catAx>
        <c:axId val="21394255"/>
        <c:scaling>
          <c:orientation val="minMax"/>
        </c:scaling>
        <c:delete val="1"/>
        <c:axPos val="b"/>
        <c:numFmt formatCode="General" sourceLinked="1"/>
        <c:majorTickMark val="out"/>
        <c:minorTickMark val="none"/>
        <c:tickLblPos val="nextTo"/>
        <c:crossAx val="1750851952"/>
        <c:crosses val="autoZero"/>
        <c:auto val="1"/>
        <c:lblAlgn val="ctr"/>
        <c:lblOffset val="100"/>
        <c:noMultiLvlLbl val="0"/>
      </c:catAx>
      <c:valAx>
        <c:axId val="1750851952"/>
        <c:scaling>
          <c:orientation val="minMax"/>
        </c:scaling>
        <c:delete val="1"/>
        <c:axPos val="l"/>
        <c:numFmt formatCode="General" sourceLinked="1"/>
        <c:majorTickMark val="none"/>
        <c:minorTickMark val="none"/>
        <c:tickLblPos val="nextTo"/>
        <c:crossAx val="213942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[hospital_dashboard.xlsx]Sheet1!PivotTable15</c:name>
    <c:fmtId val="8"/>
  </c:pivotSource>
  <c:chart>
    <c:autoTitleDeleted val="1"/>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49764136858887"/>
          <c:y val="0"/>
          <c:w val="0.85741227312034773"/>
          <c:h val="0.72963446039833257"/>
        </c:manualLayout>
      </c:layout>
      <c:areaChart>
        <c:grouping val="standard"/>
        <c:varyColors val="0"/>
        <c:ser>
          <c:idx val="0"/>
          <c:order val="0"/>
          <c:tx>
            <c:strRef>
              <c:f>Sheet1!$G$208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Sheet1!$F$209:$F$240</c:f>
              <c:strCache>
                <c:ptCount val="31"/>
                <c:pt idx="0">
                  <c:v>3/1/2024</c:v>
                </c:pt>
                <c:pt idx="1">
                  <c:v>3/2/2024</c:v>
                </c:pt>
                <c:pt idx="2">
                  <c:v>3/3/2024</c:v>
                </c:pt>
                <c:pt idx="3">
                  <c:v>3/4/2024</c:v>
                </c:pt>
                <c:pt idx="4">
                  <c:v>3/5/2024</c:v>
                </c:pt>
                <c:pt idx="5">
                  <c:v>3/6/2024</c:v>
                </c:pt>
                <c:pt idx="6">
                  <c:v>3/7/2024</c:v>
                </c:pt>
                <c:pt idx="7">
                  <c:v>3/8/2024</c:v>
                </c:pt>
                <c:pt idx="8">
                  <c:v>3/9/2024</c:v>
                </c:pt>
                <c:pt idx="9">
                  <c:v>3/10/2024</c:v>
                </c:pt>
                <c:pt idx="10">
                  <c:v>3/11/2024</c:v>
                </c:pt>
                <c:pt idx="11">
                  <c:v>3/12/2024</c:v>
                </c:pt>
                <c:pt idx="12">
                  <c:v>3/13/2024</c:v>
                </c:pt>
                <c:pt idx="13">
                  <c:v>3/14/2024</c:v>
                </c:pt>
                <c:pt idx="14">
                  <c:v>3/15/2024</c:v>
                </c:pt>
                <c:pt idx="15">
                  <c:v>3/16/2024</c:v>
                </c:pt>
                <c:pt idx="16">
                  <c:v>3/17/2024</c:v>
                </c:pt>
                <c:pt idx="17">
                  <c:v>3/18/2024</c:v>
                </c:pt>
                <c:pt idx="18">
                  <c:v>3/19/2024</c:v>
                </c:pt>
                <c:pt idx="19">
                  <c:v>3/20/2024</c:v>
                </c:pt>
                <c:pt idx="20">
                  <c:v>3/21/2024</c:v>
                </c:pt>
                <c:pt idx="21">
                  <c:v>3/22/2024</c:v>
                </c:pt>
                <c:pt idx="22">
                  <c:v>3/23/2024</c:v>
                </c:pt>
                <c:pt idx="23">
                  <c:v>3/24/2024</c:v>
                </c:pt>
                <c:pt idx="24">
                  <c:v>3/25/2024</c:v>
                </c:pt>
                <c:pt idx="25">
                  <c:v>3/26/2024</c:v>
                </c:pt>
                <c:pt idx="26">
                  <c:v>3/27/2024</c:v>
                </c:pt>
                <c:pt idx="27">
                  <c:v>3/28/2024</c:v>
                </c:pt>
                <c:pt idx="28">
                  <c:v>3/29/2024</c:v>
                </c:pt>
                <c:pt idx="29">
                  <c:v>3/30/2024</c:v>
                </c:pt>
                <c:pt idx="30">
                  <c:v>3/31/2024</c:v>
                </c:pt>
              </c:strCache>
            </c:strRef>
          </c:cat>
          <c:val>
            <c:numRef>
              <c:f>Sheet1!$G$209:$G$240</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0-ECC3-471D-99EB-56EE0F56E88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06445327"/>
        <c:axId val="1750769872"/>
      </c:areaChart>
      <c:catAx>
        <c:axId val="100644532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50769872"/>
        <c:crosses val="autoZero"/>
        <c:auto val="1"/>
        <c:lblAlgn val="ctr"/>
        <c:lblOffset val="100"/>
        <c:noMultiLvlLbl val="0"/>
      </c:catAx>
      <c:valAx>
        <c:axId val="1750769872"/>
        <c:scaling>
          <c:orientation val="minMax"/>
        </c:scaling>
        <c:delete val="1"/>
        <c:axPos val="l"/>
        <c:numFmt formatCode="General" sourceLinked="1"/>
        <c:majorTickMark val="out"/>
        <c:minorTickMark val="none"/>
        <c:tickLblPos val="nextTo"/>
        <c:crossAx val="10064453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[hospital_dashboard.xlsx]Sheet1!PivotTable7</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Sheet1!$M$6</c:f>
              <c:strCache>
                <c:ptCount val="1"/>
                <c:pt idx="0">
                  <c:v>Total</c:v>
                </c:pt>
              </c:strCache>
            </c:strRef>
          </c:tx>
          <c:spPr>
            <a:solidFill>
              <a:schemeClr val="accent1"/>
            </a:solidFill>
            <a:ln>
              <a:noFill/>
            </a:ln>
            <a:effectLst/>
          </c:spPr>
          <c:cat>
            <c:strRef>
              <c:f>Sheet1!$L$7:$L$38</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Sheet1!$M$7:$M$38</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0-633D-47D6-82D0-B40DD661A7CC}"/>
            </c:ext>
          </c:extLst>
        </c:ser>
        <c:dLbls>
          <c:showLegendKey val="0"/>
          <c:showVal val="0"/>
          <c:showCatName val="0"/>
          <c:showSerName val="0"/>
          <c:showPercent val="0"/>
          <c:showBubbleSize val="0"/>
        </c:dLbls>
        <c:axId val="809052495"/>
        <c:axId val="1750790992"/>
      </c:areaChart>
      <c:catAx>
        <c:axId val="8090524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790992"/>
        <c:crosses val="autoZero"/>
        <c:auto val="1"/>
        <c:lblAlgn val="ctr"/>
        <c:lblOffset val="100"/>
        <c:noMultiLvlLbl val="0"/>
      </c:catAx>
      <c:valAx>
        <c:axId val="1750790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0524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[hospital_dashboard.xlsx]Sheet1!PivotTable7</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Sheet1!$M$6</c:f>
              <c:strCache>
                <c:ptCount val="1"/>
                <c:pt idx="0">
                  <c:v>Total</c:v>
                </c:pt>
              </c:strCache>
            </c:strRef>
          </c:tx>
          <c:spPr>
            <a:solidFill>
              <a:schemeClr val="accent1"/>
            </a:solidFill>
            <a:ln>
              <a:noFill/>
            </a:ln>
            <a:effectLst/>
          </c:spPr>
          <c:cat>
            <c:strRef>
              <c:f>Sheet1!$L$7:$L$38</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Sheet1!$M$7:$M$38</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0-5E35-4B9B-9490-A9DDD1B724D7}"/>
            </c:ext>
          </c:extLst>
        </c:ser>
        <c:dLbls>
          <c:showLegendKey val="0"/>
          <c:showVal val="0"/>
          <c:showCatName val="0"/>
          <c:showSerName val="0"/>
          <c:showPercent val="0"/>
          <c:showBubbleSize val="0"/>
        </c:dLbls>
        <c:axId val="809230671"/>
        <c:axId val="1750637872"/>
      </c:areaChart>
      <c:catAx>
        <c:axId val="809230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637872"/>
        <c:crosses val="autoZero"/>
        <c:auto val="1"/>
        <c:lblAlgn val="ctr"/>
        <c:lblOffset val="100"/>
        <c:noMultiLvlLbl val="0"/>
      </c:catAx>
      <c:valAx>
        <c:axId val="17506378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2306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[hospital_dashboard.xlsx]Sheet1!PivotTable8</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Sheet1!$P$6</c:f>
              <c:strCache>
                <c:ptCount val="1"/>
                <c:pt idx="0">
                  <c:v>Total</c:v>
                </c:pt>
              </c:strCache>
            </c:strRef>
          </c:tx>
          <c:spPr>
            <a:solidFill>
              <a:schemeClr val="accent1"/>
            </a:solidFill>
            <a:ln>
              <a:noFill/>
            </a:ln>
            <a:effectLst/>
          </c:spPr>
          <c:cat>
            <c:strRef>
              <c:f>Sheet1!$O$7:$O$38</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Sheet1!$P$7:$P$38</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0-A1F9-4AE0-AABF-4CC44D1DBB0D}"/>
            </c:ext>
          </c:extLst>
        </c:ser>
        <c:dLbls>
          <c:showLegendKey val="0"/>
          <c:showVal val="0"/>
          <c:showCatName val="0"/>
          <c:showSerName val="0"/>
          <c:showPercent val="0"/>
          <c:showBubbleSize val="0"/>
        </c:dLbls>
        <c:axId val="922404959"/>
        <c:axId val="1750641712"/>
      </c:areaChart>
      <c:catAx>
        <c:axId val="922404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641712"/>
        <c:crosses val="autoZero"/>
        <c:auto val="1"/>
        <c:lblAlgn val="ctr"/>
        <c:lblOffset val="100"/>
        <c:noMultiLvlLbl val="0"/>
      </c:catAx>
      <c:valAx>
        <c:axId val="17506417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40495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[hospital_dashboard.xlsx]Sheet1!PivotTable7</c:name>
    <c:fmtId val="8"/>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730496453900711E-2"/>
          <c:y val="4.3290043290043288E-2"/>
          <c:w val="0.98226950354609932"/>
          <c:h val="0.91341991341991347"/>
        </c:manualLayout>
      </c:layout>
      <c:areaChart>
        <c:grouping val="standard"/>
        <c:varyColors val="0"/>
        <c:ser>
          <c:idx val="0"/>
          <c:order val="0"/>
          <c:tx>
            <c:strRef>
              <c:f>Sheet1!$M$6</c:f>
              <c:strCache>
                <c:ptCount val="1"/>
                <c:pt idx="0">
                  <c:v>Total</c:v>
                </c:pt>
              </c:strCache>
            </c:strRef>
          </c:tx>
          <c:spPr>
            <a:solidFill>
              <a:schemeClr val="accent4"/>
            </a:solidFill>
            <a:ln>
              <a:noFill/>
            </a:ln>
            <a:effectLst/>
          </c:spPr>
          <c:cat>
            <c:strRef>
              <c:f>Sheet1!$L$7:$L$38</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Sheet1!$M$7:$M$38</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0-AB4E-4909-AE7F-388B4B5E6A84}"/>
            </c:ext>
          </c:extLst>
        </c:ser>
        <c:dLbls>
          <c:showLegendKey val="0"/>
          <c:showVal val="0"/>
          <c:showCatName val="0"/>
          <c:showSerName val="0"/>
          <c:showPercent val="0"/>
          <c:showBubbleSize val="0"/>
        </c:dLbls>
        <c:axId val="963416976"/>
        <c:axId val="840381680"/>
      </c:areaChart>
      <c:catAx>
        <c:axId val="963416976"/>
        <c:scaling>
          <c:orientation val="minMax"/>
        </c:scaling>
        <c:delete val="1"/>
        <c:axPos val="b"/>
        <c:numFmt formatCode="General" sourceLinked="1"/>
        <c:majorTickMark val="out"/>
        <c:minorTickMark val="none"/>
        <c:tickLblPos val="nextTo"/>
        <c:crossAx val="840381680"/>
        <c:crosses val="autoZero"/>
        <c:auto val="1"/>
        <c:lblAlgn val="ctr"/>
        <c:lblOffset val="100"/>
        <c:noMultiLvlLbl val="0"/>
      </c:catAx>
      <c:valAx>
        <c:axId val="840381680"/>
        <c:scaling>
          <c:orientation val="minMax"/>
        </c:scaling>
        <c:delete val="1"/>
        <c:axPos val="l"/>
        <c:numFmt formatCode="0.00" sourceLinked="1"/>
        <c:majorTickMark val="none"/>
        <c:minorTickMark val="none"/>
        <c:tickLblPos val="nextTo"/>
        <c:crossAx val="9634169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[hospital_dashboard.xlsx]Sheet1!PivotTable8</c:name>
    <c:fmtId val="12"/>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13246558465916E-3"/>
          <c:y val="0"/>
          <c:w val="0.98316498316498313"/>
          <c:h val="0.97549019607843135"/>
        </c:manualLayout>
      </c:layout>
      <c:areaChart>
        <c:grouping val="standard"/>
        <c:varyColors val="0"/>
        <c:ser>
          <c:idx val="0"/>
          <c:order val="0"/>
          <c:tx>
            <c:strRef>
              <c:f>Sheet1!$P$6</c:f>
              <c:strCache>
                <c:ptCount val="1"/>
                <c:pt idx="0">
                  <c:v>Total</c:v>
                </c:pt>
              </c:strCache>
            </c:strRef>
          </c:tx>
          <c:spPr>
            <a:solidFill>
              <a:schemeClr val="accent4"/>
            </a:solidFill>
            <a:ln>
              <a:noFill/>
            </a:ln>
            <a:effectLst/>
          </c:spPr>
          <c:cat>
            <c:strRef>
              <c:f>Sheet1!$O$7:$O$38</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Sheet1!$P$7:$P$38</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0-5D5F-473B-AD94-0F0BEC94A230}"/>
            </c:ext>
          </c:extLst>
        </c:ser>
        <c:dLbls>
          <c:showLegendKey val="0"/>
          <c:showVal val="0"/>
          <c:showCatName val="0"/>
          <c:showSerName val="0"/>
          <c:showPercent val="0"/>
          <c:showBubbleSize val="0"/>
        </c:dLbls>
        <c:axId val="932044688"/>
        <c:axId val="840372080"/>
      </c:areaChart>
      <c:catAx>
        <c:axId val="932044688"/>
        <c:scaling>
          <c:orientation val="minMax"/>
        </c:scaling>
        <c:delete val="1"/>
        <c:axPos val="b"/>
        <c:numFmt formatCode="General" sourceLinked="1"/>
        <c:majorTickMark val="out"/>
        <c:minorTickMark val="none"/>
        <c:tickLblPos val="nextTo"/>
        <c:crossAx val="840372080"/>
        <c:crosses val="autoZero"/>
        <c:auto val="1"/>
        <c:lblAlgn val="ctr"/>
        <c:lblOffset val="100"/>
        <c:noMultiLvlLbl val="0"/>
      </c:catAx>
      <c:valAx>
        <c:axId val="840372080"/>
        <c:scaling>
          <c:orientation val="minMax"/>
        </c:scaling>
        <c:delete val="1"/>
        <c:axPos val="l"/>
        <c:numFmt formatCode="0.00" sourceLinked="1"/>
        <c:majorTickMark val="none"/>
        <c:minorTickMark val="none"/>
        <c:tickLblPos val="nextTo"/>
        <c:crossAx val="9320446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[hospital_dashboard.xlsx]Sheet1!PivotTable10</c:name>
    <c:fmtId val="5"/>
  </c:pivotSource>
  <c:chart>
    <c:title>
      <c:tx>
        <c:rich>
          <a:bodyPr rot="0" spcFirstLastPara="1" vertOverflow="ellipsis" vert="horz" wrap="square" anchor="ctr" anchorCtr="1"/>
          <a:lstStyle/>
          <a:p>
            <a:pPr>
              <a:defRPr sz="1100" b="1" i="0" u="none" strike="noStrike" kern="1200" cap="none" spc="0" normalizeH="0" baseline="0">
                <a:ln>
                  <a:noFill/>
                </a:ln>
                <a:solidFill>
                  <a:schemeClr val="accent1">
                    <a:lumMod val="60000"/>
                    <a:lumOff val="40000"/>
                  </a:schemeClr>
                </a:solidFill>
                <a:latin typeface="+mj-lt"/>
                <a:ea typeface="+mj-ea"/>
                <a:cs typeface="+mj-cs"/>
              </a:defRPr>
            </a:pPr>
            <a:r>
              <a:rPr lang="en-IN" sz="1100" b="1" i="0">
                <a:ln>
                  <a:noFill/>
                </a:ln>
                <a:solidFill>
                  <a:schemeClr val="accent1">
                    <a:lumMod val="60000"/>
                    <a:lumOff val="40000"/>
                  </a:schemeClr>
                </a:solidFill>
              </a:rPr>
              <a:t>No.</a:t>
            </a:r>
            <a:r>
              <a:rPr lang="en-IN" sz="1100" b="1" i="0" baseline="0">
                <a:ln>
                  <a:noFill/>
                </a:ln>
                <a:solidFill>
                  <a:schemeClr val="accent1">
                    <a:lumMod val="60000"/>
                    <a:lumOff val="40000"/>
                  </a:schemeClr>
                </a:solidFill>
              </a:rPr>
              <a:t> of patients by age group</a:t>
            </a:r>
            <a:endParaRPr lang="en-IN" sz="1100" b="1" i="0">
              <a:ln>
                <a:noFill/>
              </a:ln>
              <a:solidFill>
                <a:schemeClr val="accent1">
                  <a:lumMod val="60000"/>
                  <a:lumOff val="40000"/>
                </a:schemeClr>
              </a:solidFill>
            </a:endParaRPr>
          </a:p>
        </c:rich>
      </c:tx>
      <c:overlay val="0"/>
      <c:spPr>
        <a:noFill/>
        <a:ln>
          <a:noFill/>
        </a:ln>
        <a:effectLst/>
      </c:spPr>
      <c:txPr>
        <a:bodyPr rot="0" spcFirstLastPara="1" vertOverflow="ellipsis" vert="horz" wrap="square" anchor="ctr" anchorCtr="1"/>
        <a:lstStyle/>
        <a:p>
          <a:pPr>
            <a:defRPr sz="1100" b="1" i="0" u="none" strike="noStrike" kern="1200" cap="none" spc="0" normalizeH="0" baseline="0">
              <a:ln>
                <a:noFill/>
              </a:ln>
              <a:solidFill>
                <a:schemeClr val="accent1">
                  <a:lumMod val="60000"/>
                  <a:lumOff val="40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Sheet1!$S$87</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Sheet1!$R$88:$R$96</c:f>
              <c:strCache>
                <c:ptCount val="8"/>
                <c:pt idx="0">
                  <c:v>0-9</c:v>
                </c:pt>
                <c:pt idx="1">
                  <c:v>10-19</c:v>
                </c:pt>
                <c:pt idx="2">
                  <c:v>20-29</c:v>
                </c:pt>
                <c:pt idx="3">
                  <c:v>30-39</c:v>
                </c:pt>
                <c:pt idx="4">
                  <c:v>40-49</c:v>
                </c:pt>
                <c:pt idx="5">
                  <c:v>50-59</c:v>
                </c:pt>
                <c:pt idx="6">
                  <c:v>60-69</c:v>
                </c:pt>
                <c:pt idx="7">
                  <c:v>70-79</c:v>
                </c:pt>
              </c:strCache>
            </c:strRef>
          </c:cat>
          <c:val>
            <c:numRef>
              <c:f>Sheet1!$S$88:$S$96</c:f>
              <c:numCache>
                <c:formatCode>General</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0-14CA-4FB9-8AA1-B92A57434003}"/>
            </c:ext>
          </c:extLst>
        </c:ser>
        <c:dLbls>
          <c:showLegendKey val="0"/>
          <c:showVal val="0"/>
          <c:showCatName val="0"/>
          <c:showSerName val="0"/>
          <c:showPercent val="0"/>
          <c:showBubbleSize val="0"/>
        </c:dLbls>
        <c:gapWidth val="199"/>
        <c:axId val="1195762768"/>
        <c:axId val="1976080751"/>
      </c:barChart>
      <c:catAx>
        <c:axId val="119576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976080751"/>
        <c:crosses val="autoZero"/>
        <c:auto val="1"/>
        <c:lblAlgn val="ctr"/>
        <c:lblOffset val="100"/>
        <c:noMultiLvlLbl val="0"/>
      </c:catAx>
      <c:valAx>
        <c:axId val="1976080751"/>
        <c:scaling>
          <c:orientation val="minMax"/>
        </c:scaling>
        <c:delete val="1"/>
        <c:axPos val="l"/>
        <c:numFmt formatCode="General" sourceLinked="1"/>
        <c:majorTickMark val="none"/>
        <c:minorTickMark val="none"/>
        <c:tickLblPos val="nextTo"/>
        <c:crossAx val="119576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[hospital_dashboard.xlsx]Sheet1!PivotTable11</c:name>
    <c:fmtId val="4"/>
  </c:pivotSource>
  <c:chart>
    <c:title>
      <c:tx>
        <c:rich>
          <a:bodyPr rot="0" spcFirstLastPara="1" vertOverflow="ellipsis" vert="horz" wrap="square" anchor="ctr" anchorCtr="1"/>
          <a:lstStyle/>
          <a:p>
            <a:pPr>
              <a:defRPr sz="1800" b="1" i="0" u="none" strike="noStrike" kern="1200" baseline="0">
                <a:solidFill>
                  <a:schemeClr val="accent1">
                    <a:lumMod val="60000"/>
                    <a:lumOff val="40000"/>
                  </a:schemeClr>
                </a:solidFill>
                <a:latin typeface="+mn-lt"/>
                <a:ea typeface="+mn-ea"/>
                <a:cs typeface="+mn-cs"/>
              </a:defRPr>
            </a:pPr>
            <a:r>
              <a:rPr lang="en-IN" sz="1200">
                <a:solidFill>
                  <a:schemeClr val="accent1">
                    <a:lumMod val="60000"/>
                    <a:lumOff val="40000"/>
                  </a:schemeClr>
                </a:solidFill>
              </a:rPr>
              <a:t>Patients</a:t>
            </a:r>
            <a:r>
              <a:rPr lang="en-IN" sz="1200" baseline="0">
                <a:solidFill>
                  <a:schemeClr val="accent1">
                    <a:lumMod val="60000"/>
                    <a:lumOff val="40000"/>
                  </a:schemeClr>
                </a:solidFill>
              </a:rPr>
              <a:t> attended within time</a:t>
            </a:r>
            <a:endParaRPr lang="en-IN" sz="1200">
              <a:solidFill>
                <a:schemeClr val="accent1">
                  <a:lumMod val="60000"/>
                  <a:lumOff val="4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1">
                  <a:lumMod val="60000"/>
                  <a:lumOff val="4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4"/>
          </a:solidFill>
          <a:ln>
            <a:solidFill>
              <a:schemeClr val="bg1">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4">
              <a:tint val="77000"/>
            </a:schemeClr>
          </a:solidFill>
          <a:ln>
            <a:solidFill>
              <a:schemeClr val="bg1">
                <a:alpha val="98000"/>
              </a:schemeClr>
            </a:solidFill>
          </a:ln>
          <a:effectLst/>
        </c:spPr>
      </c:pivotFmt>
      <c:pivotFmt>
        <c:idx val="6"/>
        <c:spPr>
          <a:solidFill>
            <a:schemeClr val="accent4">
              <a:shade val="76000"/>
            </a:schemeClr>
          </a:solidFill>
          <a:ln>
            <a:solidFill>
              <a:schemeClr val="bg1">
                <a:alpha val="98000"/>
              </a:schemeClr>
            </a:solidFill>
          </a:ln>
          <a:effectLst/>
        </c:spPr>
      </c:pivotFmt>
    </c:pivotFmts>
    <c:plotArea>
      <c:layout/>
      <c:pieChart>
        <c:varyColors val="1"/>
        <c:ser>
          <c:idx val="0"/>
          <c:order val="0"/>
          <c:tx>
            <c:strRef>
              <c:f>Sheet1!$T$108</c:f>
              <c:strCache>
                <c:ptCount val="1"/>
                <c:pt idx="0">
                  <c:v>Total</c:v>
                </c:pt>
              </c:strCache>
            </c:strRef>
          </c:tx>
          <c:spPr>
            <a:ln>
              <a:solidFill>
                <a:schemeClr val="bg1">
                  <a:alpha val="98000"/>
                </a:schemeClr>
              </a:solidFill>
            </a:ln>
            <a:effectLst/>
          </c:spPr>
          <c:dPt>
            <c:idx val="0"/>
            <c:bubble3D val="0"/>
            <c:spPr>
              <a:solidFill>
                <a:schemeClr val="accent4">
                  <a:tint val="77000"/>
                </a:schemeClr>
              </a:solidFill>
              <a:ln>
                <a:solidFill>
                  <a:schemeClr val="bg1">
                    <a:alpha val="98000"/>
                  </a:schemeClr>
                </a:solidFill>
              </a:ln>
              <a:effectLst/>
            </c:spPr>
            <c:extLst>
              <c:ext xmlns:c16="http://schemas.microsoft.com/office/drawing/2014/chart" uri="{C3380CC4-5D6E-409C-BE32-E72D297353CC}">
                <c16:uniqueId val="{00000001-5FE3-49B1-B93D-F0CE14D984BC}"/>
              </c:ext>
            </c:extLst>
          </c:dPt>
          <c:dPt>
            <c:idx val="1"/>
            <c:bubble3D val="0"/>
            <c:spPr>
              <a:solidFill>
                <a:schemeClr val="accent4">
                  <a:shade val="76000"/>
                </a:schemeClr>
              </a:solidFill>
              <a:ln>
                <a:solidFill>
                  <a:schemeClr val="bg1">
                    <a:alpha val="98000"/>
                  </a:schemeClr>
                </a:solidFill>
              </a:ln>
              <a:effectLst/>
            </c:spPr>
            <c:extLst>
              <c:ext xmlns:c16="http://schemas.microsoft.com/office/drawing/2014/chart" uri="{C3380CC4-5D6E-409C-BE32-E72D297353CC}">
                <c16:uniqueId val="{00000003-5FE3-49B1-B93D-F0CE14D984B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Sheet1!$S$109:$S$111</c:f>
              <c:strCache>
                <c:ptCount val="2"/>
                <c:pt idx="0">
                  <c:v>Delay</c:v>
                </c:pt>
                <c:pt idx="1">
                  <c:v>On Time</c:v>
                </c:pt>
              </c:strCache>
            </c:strRef>
          </c:cat>
          <c:val>
            <c:numRef>
              <c:f>Sheet1!$T$109:$T$111</c:f>
              <c:numCache>
                <c:formatCode>General</c:formatCode>
                <c:ptCount val="2"/>
                <c:pt idx="0">
                  <c:v>312</c:v>
                </c:pt>
                <c:pt idx="1">
                  <c:v>194</c:v>
                </c:pt>
              </c:numCache>
            </c:numRef>
          </c:val>
          <c:extLst>
            <c:ext xmlns:c16="http://schemas.microsoft.com/office/drawing/2014/chart" uri="{C3380CC4-5D6E-409C-BE32-E72D297353CC}">
              <c16:uniqueId val="{00000004-5FE3-49B1-B93D-F0CE14D984BC}"/>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65000"/>
        </a:schemeClr>
      </a:solidFill>
      <a:round/>
    </a:ln>
    <a:effectLst>
      <a:outerShdw blurRad="50800" dist="50800" dir="5400000" algn="ctr" rotWithShape="0">
        <a:srgbClr val="F8FAFC"/>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[hospital_dashboard.xlsx]Sheet1!PivotTable12</c:name>
    <c:fmtId val="3"/>
  </c:pivotSource>
  <c:chart>
    <c:title>
      <c:tx>
        <c:rich>
          <a:bodyPr rot="0" spcFirstLastPara="1" vertOverflow="ellipsis" vert="horz" wrap="square" anchor="ctr" anchorCtr="1"/>
          <a:lstStyle/>
          <a:p>
            <a:pPr>
              <a:defRPr sz="1100" b="1" i="0" u="none" strike="noStrike" kern="1200" baseline="0">
                <a:solidFill>
                  <a:schemeClr val="accent1">
                    <a:lumMod val="60000"/>
                    <a:lumOff val="40000"/>
                  </a:schemeClr>
                </a:solidFill>
                <a:latin typeface="+mn-lt"/>
                <a:ea typeface="+mn-ea"/>
                <a:cs typeface="+mn-cs"/>
              </a:defRPr>
            </a:pPr>
            <a:r>
              <a:rPr lang="en-IN" sz="1100">
                <a:solidFill>
                  <a:schemeClr val="accent1">
                    <a:lumMod val="60000"/>
                    <a:lumOff val="40000"/>
                  </a:schemeClr>
                </a:solidFill>
              </a:rPr>
              <a:t>No.</a:t>
            </a:r>
            <a:r>
              <a:rPr lang="en-IN" sz="1100" baseline="0">
                <a:solidFill>
                  <a:schemeClr val="accent1">
                    <a:lumMod val="60000"/>
                    <a:lumOff val="40000"/>
                  </a:schemeClr>
                </a:solidFill>
              </a:rPr>
              <a:t> of patients by gender</a:t>
            </a:r>
            <a:endParaRPr lang="en-IN" sz="1100">
              <a:solidFill>
                <a:schemeClr val="accent1">
                  <a:lumMod val="60000"/>
                  <a:lumOff val="40000"/>
                </a:schemeClr>
              </a:solidFill>
            </a:endParaRPr>
          </a:p>
        </c:rich>
      </c:tx>
      <c:layout>
        <c:manualLayout>
          <c:xMode val="edge"/>
          <c:yMode val="edge"/>
          <c:x val="0.2345116726521195"/>
          <c:y val="6.5767601118981361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accent1">
                  <a:lumMod val="60000"/>
                  <a:lumOff val="4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c:spPr>
      </c:pivotFmt>
      <c:pivotFmt>
        <c:idx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c:spPr>
      </c:pivotFmt>
    </c:pivotFmts>
    <c:plotArea>
      <c:layout/>
      <c:doughnutChart>
        <c:varyColors val="1"/>
        <c:ser>
          <c:idx val="0"/>
          <c:order val="0"/>
          <c:tx>
            <c:strRef>
              <c:f>Sheet1!$F$44</c:f>
              <c:strCache>
                <c:ptCount val="1"/>
                <c:pt idx="0">
                  <c:v>Total</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1-F6CB-445B-A211-0EB517871C17}"/>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3-F6CB-445B-A211-0EB517871C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Sheet1!$E$45:$E$47</c:f>
              <c:strCache>
                <c:ptCount val="2"/>
                <c:pt idx="0">
                  <c:v>Female</c:v>
                </c:pt>
                <c:pt idx="1">
                  <c:v>Male</c:v>
                </c:pt>
              </c:strCache>
            </c:strRef>
          </c:cat>
          <c:val>
            <c:numRef>
              <c:f>Sheet1!$F$45:$F$47</c:f>
              <c:numCache>
                <c:formatCode>General</c:formatCode>
                <c:ptCount val="2"/>
                <c:pt idx="0">
                  <c:v>231</c:v>
                </c:pt>
                <c:pt idx="1">
                  <c:v>275</c:v>
                </c:pt>
              </c:numCache>
            </c:numRef>
          </c:val>
          <c:extLst>
            <c:ext xmlns:c16="http://schemas.microsoft.com/office/drawing/2014/chart" uri="{C3380CC4-5D6E-409C-BE32-E72D297353CC}">
              <c16:uniqueId val="{00000004-F6CB-445B-A211-0EB517871C1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[hospital_dashboard.xlsx]Sheet1!PivotTable13</c:name>
    <c:fmtId val="3"/>
  </c:pivotSource>
  <c:chart>
    <c:title>
      <c:tx>
        <c:rich>
          <a:bodyPr rot="0" spcFirstLastPara="1" vertOverflow="ellipsis" vert="horz" wrap="square" anchor="ctr" anchorCtr="1"/>
          <a:lstStyle/>
          <a:p>
            <a:pPr>
              <a:defRPr sz="1100" b="1" i="0" u="none" strike="noStrike" kern="1200" baseline="0">
                <a:solidFill>
                  <a:schemeClr val="accent1">
                    <a:lumMod val="60000"/>
                    <a:lumOff val="40000"/>
                  </a:schemeClr>
                </a:solidFill>
                <a:latin typeface="+mn-lt"/>
                <a:ea typeface="+mn-ea"/>
                <a:cs typeface="+mn-cs"/>
              </a:defRPr>
            </a:pPr>
            <a:r>
              <a:rPr lang="en-IN" sz="1100">
                <a:solidFill>
                  <a:schemeClr val="accent1">
                    <a:lumMod val="60000"/>
                    <a:lumOff val="40000"/>
                  </a:schemeClr>
                </a:solidFill>
              </a:rPr>
              <a:t>No.</a:t>
            </a:r>
            <a:r>
              <a:rPr lang="en-IN" sz="1100" baseline="0">
                <a:solidFill>
                  <a:schemeClr val="accent1">
                    <a:lumMod val="60000"/>
                    <a:lumOff val="40000"/>
                  </a:schemeClr>
                </a:solidFill>
              </a:rPr>
              <a:t> of patient by Department Referral</a:t>
            </a:r>
            <a:endParaRPr lang="en-IN" sz="1100">
              <a:solidFill>
                <a:schemeClr val="accent1">
                  <a:lumMod val="60000"/>
                  <a:lumOff val="40000"/>
                </a:schemeClr>
              </a:solidFill>
            </a:endParaRPr>
          </a:p>
        </c:rich>
      </c:tx>
      <c:layout>
        <c:manualLayout>
          <c:xMode val="edge"/>
          <c:yMode val="edge"/>
          <c:x val="0.53648293767160382"/>
          <c:y val="0.78571270538047477"/>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accent1">
                  <a:lumMod val="60000"/>
                  <a:lumOff val="4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31092141519691"/>
          <c:y val="5.8582308142940832E-2"/>
          <c:w val="0.74845647214658917"/>
          <c:h val="0.80012731273265714"/>
        </c:manualLayout>
      </c:layout>
      <c:barChart>
        <c:barDir val="bar"/>
        <c:grouping val="clustered"/>
        <c:varyColors val="0"/>
        <c:ser>
          <c:idx val="0"/>
          <c:order val="0"/>
          <c:tx>
            <c:strRef>
              <c:f>Sheet1!$D$58</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Sheet1!$C$59:$C$67</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Sheet1!$D$59:$D$67</c:f>
              <c:numCache>
                <c:formatCode>General</c:formatCode>
                <c:ptCount val="8"/>
                <c:pt idx="0">
                  <c:v>3</c:v>
                </c:pt>
                <c:pt idx="1">
                  <c:v>5</c:v>
                </c:pt>
                <c:pt idx="2">
                  <c:v>6</c:v>
                </c:pt>
                <c:pt idx="3">
                  <c:v>14</c:v>
                </c:pt>
                <c:pt idx="4">
                  <c:v>15</c:v>
                </c:pt>
                <c:pt idx="5">
                  <c:v>59</c:v>
                </c:pt>
                <c:pt idx="6">
                  <c:v>93</c:v>
                </c:pt>
                <c:pt idx="7">
                  <c:v>311</c:v>
                </c:pt>
              </c:numCache>
            </c:numRef>
          </c:val>
          <c:extLst>
            <c:ext xmlns:c16="http://schemas.microsoft.com/office/drawing/2014/chart" uri="{C3380CC4-5D6E-409C-BE32-E72D297353CC}">
              <c16:uniqueId val="{00000000-B3D4-40E9-9F1E-1A653F7C2FE7}"/>
            </c:ext>
          </c:extLst>
        </c:ser>
        <c:dLbls>
          <c:showLegendKey val="0"/>
          <c:showVal val="0"/>
          <c:showCatName val="0"/>
          <c:showSerName val="0"/>
          <c:showPercent val="0"/>
          <c:showBubbleSize val="0"/>
        </c:dLbls>
        <c:gapWidth val="100"/>
        <c:axId val="1407526864"/>
        <c:axId val="1746100591"/>
      </c:barChart>
      <c:catAx>
        <c:axId val="140752686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6100591"/>
        <c:crosses val="autoZero"/>
        <c:auto val="1"/>
        <c:lblAlgn val="ctr"/>
        <c:lblOffset val="100"/>
        <c:noMultiLvlLbl val="0"/>
      </c:catAx>
      <c:valAx>
        <c:axId val="1746100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0752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[hospital_dashboard.xlsx]Sheet1!PivotTable15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509676908666339E-2"/>
          <c:y val="0"/>
          <c:w val="0.95811290386416703"/>
          <c:h val="0.97800930535378183"/>
        </c:manualLayout>
      </c:layout>
      <c:areaChart>
        <c:grouping val="standard"/>
        <c:varyColors val="0"/>
        <c:ser>
          <c:idx val="0"/>
          <c:order val="0"/>
          <c:tx>
            <c:strRef>
              <c:f>Sheet1!$G$208</c:f>
              <c:strCache>
                <c:ptCount val="1"/>
                <c:pt idx="0">
                  <c:v>Total</c:v>
                </c:pt>
              </c:strCache>
            </c:strRef>
          </c:tx>
          <c:spPr>
            <a:solidFill>
              <a:schemeClr val="accent4"/>
            </a:solidFill>
            <a:ln>
              <a:noFill/>
            </a:ln>
            <a:effectLst/>
          </c:spPr>
          <c:cat>
            <c:strRef>
              <c:f>Sheet1!$F$209:$F$240</c:f>
              <c:strCache>
                <c:ptCount val="31"/>
                <c:pt idx="0">
                  <c:v>3/1/2024</c:v>
                </c:pt>
                <c:pt idx="1">
                  <c:v>3/2/2024</c:v>
                </c:pt>
                <c:pt idx="2">
                  <c:v>3/3/2024</c:v>
                </c:pt>
                <c:pt idx="3">
                  <c:v>3/4/2024</c:v>
                </c:pt>
                <c:pt idx="4">
                  <c:v>3/5/2024</c:v>
                </c:pt>
                <c:pt idx="5">
                  <c:v>3/6/2024</c:v>
                </c:pt>
                <c:pt idx="6">
                  <c:v>3/7/2024</c:v>
                </c:pt>
                <c:pt idx="7">
                  <c:v>3/8/2024</c:v>
                </c:pt>
                <c:pt idx="8">
                  <c:v>3/9/2024</c:v>
                </c:pt>
                <c:pt idx="9">
                  <c:v>3/10/2024</c:v>
                </c:pt>
                <c:pt idx="10">
                  <c:v>3/11/2024</c:v>
                </c:pt>
                <c:pt idx="11">
                  <c:v>3/12/2024</c:v>
                </c:pt>
                <c:pt idx="12">
                  <c:v>3/13/2024</c:v>
                </c:pt>
                <c:pt idx="13">
                  <c:v>3/14/2024</c:v>
                </c:pt>
                <c:pt idx="14">
                  <c:v>3/15/2024</c:v>
                </c:pt>
                <c:pt idx="15">
                  <c:v>3/16/2024</c:v>
                </c:pt>
                <c:pt idx="16">
                  <c:v>3/17/2024</c:v>
                </c:pt>
                <c:pt idx="17">
                  <c:v>3/18/2024</c:v>
                </c:pt>
                <c:pt idx="18">
                  <c:v>3/19/2024</c:v>
                </c:pt>
                <c:pt idx="19">
                  <c:v>3/20/2024</c:v>
                </c:pt>
                <c:pt idx="20">
                  <c:v>3/21/2024</c:v>
                </c:pt>
                <c:pt idx="21">
                  <c:v>3/22/2024</c:v>
                </c:pt>
                <c:pt idx="22">
                  <c:v>3/23/2024</c:v>
                </c:pt>
                <c:pt idx="23">
                  <c:v>3/24/2024</c:v>
                </c:pt>
                <c:pt idx="24">
                  <c:v>3/25/2024</c:v>
                </c:pt>
                <c:pt idx="25">
                  <c:v>3/26/2024</c:v>
                </c:pt>
                <c:pt idx="26">
                  <c:v>3/27/2024</c:v>
                </c:pt>
                <c:pt idx="27">
                  <c:v>3/28/2024</c:v>
                </c:pt>
                <c:pt idx="28">
                  <c:v>3/29/2024</c:v>
                </c:pt>
                <c:pt idx="29">
                  <c:v>3/30/2024</c:v>
                </c:pt>
                <c:pt idx="30">
                  <c:v>3/31/2024</c:v>
                </c:pt>
              </c:strCache>
            </c:strRef>
          </c:cat>
          <c:val>
            <c:numRef>
              <c:f>Sheet1!$G$209:$G$240</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0-1092-46EA-AD00-D05A5DCEF7F6}"/>
            </c:ext>
          </c:extLst>
        </c:ser>
        <c:dLbls>
          <c:showLegendKey val="0"/>
          <c:showVal val="0"/>
          <c:showCatName val="0"/>
          <c:showSerName val="0"/>
          <c:showPercent val="0"/>
          <c:showBubbleSize val="0"/>
        </c:dLbls>
        <c:axId val="21394255"/>
        <c:axId val="1750851952"/>
      </c:areaChart>
      <c:catAx>
        <c:axId val="21394255"/>
        <c:scaling>
          <c:orientation val="minMax"/>
        </c:scaling>
        <c:delete val="1"/>
        <c:axPos val="b"/>
        <c:numFmt formatCode="General" sourceLinked="1"/>
        <c:majorTickMark val="out"/>
        <c:minorTickMark val="none"/>
        <c:tickLblPos val="nextTo"/>
        <c:crossAx val="1750851952"/>
        <c:crosses val="autoZero"/>
        <c:auto val="1"/>
        <c:lblAlgn val="ctr"/>
        <c:lblOffset val="100"/>
        <c:noMultiLvlLbl val="0"/>
      </c:catAx>
      <c:valAx>
        <c:axId val="1750851952"/>
        <c:scaling>
          <c:orientation val="minMax"/>
        </c:scaling>
        <c:delete val="1"/>
        <c:axPos val="l"/>
        <c:numFmt formatCode="General" sourceLinked="1"/>
        <c:majorTickMark val="none"/>
        <c:minorTickMark val="none"/>
        <c:tickLblPos val="nextTo"/>
        <c:crossAx val="213942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[hospital_dashboard.xlsx]Sheet1!PivotTable15</c:name>
    <c:fmtId val="16"/>
  </c:pivotSource>
  <c:chart>
    <c:autoTitleDeleted val="1"/>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Sheet1!$G$208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Sheet1!$F$209:$F$240</c:f>
              <c:strCache>
                <c:ptCount val="31"/>
                <c:pt idx="0">
                  <c:v>3/1/2024</c:v>
                </c:pt>
                <c:pt idx="1">
                  <c:v>3/2/2024</c:v>
                </c:pt>
                <c:pt idx="2">
                  <c:v>3/3/2024</c:v>
                </c:pt>
                <c:pt idx="3">
                  <c:v>3/4/2024</c:v>
                </c:pt>
                <c:pt idx="4">
                  <c:v>3/5/2024</c:v>
                </c:pt>
                <c:pt idx="5">
                  <c:v>3/6/2024</c:v>
                </c:pt>
                <c:pt idx="6">
                  <c:v>3/7/2024</c:v>
                </c:pt>
                <c:pt idx="7">
                  <c:v>3/8/2024</c:v>
                </c:pt>
                <c:pt idx="8">
                  <c:v>3/9/2024</c:v>
                </c:pt>
                <c:pt idx="9">
                  <c:v>3/10/2024</c:v>
                </c:pt>
                <c:pt idx="10">
                  <c:v>3/11/2024</c:v>
                </c:pt>
                <c:pt idx="11">
                  <c:v>3/12/2024</c:v>
                </c:pt>
                <c:pt idx="12">
                  <c:v>3/13/2024</c:v>
                </c:pt>
                <c:pt idx="13">
                  <c:v>3/14/2024</c:v>
                </c:pt>
                <c:pt idx="14">
                  <c:v>3/15/2024</c:v>
                </c:pt>
                <c:pt idx="15">
                  <c:v>3/16/2024</c:v>
                </c:pt>
                <c:pt idx="16">
                  <c:v>3/17/2024</c:v>
                </c:pt>
                <c:pt idx="17">
                  <c:v>3/18/2024</c:v>
                </c:pt>
                <c:pt idx="18">
                  <c:v>3/19/2024</c:v>
                </c:pt>
                <c:pt idx="19">
                  <c:v>3/20/2024</c:v>
                </c:pt>
                <c:pt idx="20">
                  <c:v>3/21/2024</c:v>
                </c:pt>
                <c:pt idx="21">
                  <c:v>3/22/2024</c:v>
                </c:pt>
                <c:pt idx="22">
                  <c:v>3/23/2024</c:v>
                </c:pt>
                <c:pt idx="23">
                  <c:v>3/24/2024</c:v>
                </c:pt>
                <c:pt idx="24">
                  <c:v>3/25/2024</c:v>
                </c:pt>
                <c:pt idx="25">
                  <c:v>3/26/2024</c:v>
                </c:pt>
                <c:pt idx="26">
                  <c:v>3/27/2024</c:v>
                </c:pt>
                <c:pt idx="27">
                  <c:v>3/28/2024</c:v>
                </c:pt>
                <c:pt idx="28">
                  <c:v>3/29/2024</c:v>
                </c:pt>
                <c:pt idx="29">
                  <c:v>3/30/2024</c:v>
                </c:pt>
                <c:pt idx="30">
                  <c:v>3/31/2024</c:v>
                </c:pt>
              </c:strCache>
            </c:strRef>
          </c:cat>
          <c:val>
            <c:numRef>
              <c:f>Sheet1!$G$209:$G$240</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0-3680-4361-8ADC-E092F1BB1D7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06445327"/>
        <c:axId val="1750769872"/>
      </c:areaChart>
      <c:catAx>
        <c:axId val="1006445327"/>
        <c:scaling>
          <c:orientation val="minMax"/>
        </c:scaling>
        <c:delete val="0"/>
        <c:axPos val="b"/>
        <c:numFmt formatCode="d\ mmm" sourceLinked="0"/>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50769872"/>
        <c:crosses val="autoZero"/>
        <c:auto val="1"/>
        <c:lblAlgn val="ctr"/>
        <c:lblOffset val="100"/>
        <c:noMultiLvlLbl val="0"/>
      </c:catAx>
      <c:valAx>
        <c:axId val="1750769872"/>
        <c:scaling>
          <c:orientation val="minMax"/>
        </c:scaling>
        <c:delete val="1"/>
        <c:axPos val="l"/>
        <c:numFmt formatCode="General" sourceLinked="1"/>
        <c:majorTickMark val="out"/>
        <c:minorTickMark val="none"/>
        <c:tickLblPos val="nextTo"/>
        <c:crossAx val="10064453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[hospital_dashboard.xlsx]Sheet1!PivotTable7</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Sheet1!$M$6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Sheet1!$L$7:$L$38</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Sheet1!$M$7:$M$38</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0-D7C3-47D2-A564-36E81E7E07D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09052495"/>
        <c:axId val="1750790992"/>
      </c:areaChart>
      <c:catAx>
        <c:axId val="80905249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50790992"/>
        <c:crosses val="autoZero"/>
        <c:auto val="1"/>
        <c:lblAlgn val="ctr"/>
        <c:lblOffset val="100"/>
        <c:noMultiLvlLbl val="0"/>
      </c:catAx>
      <c:valAx>
        <c:axId val="1750790992"/>
        <c:scaling>
          <c:orientation val="minMax"/>
        </c:scaling>
        <c:delete val="1"/>
        <c:axPos val="l"/>
        <c:numFmt formatCode="0.00" sourceLinked="1"/>
        <c:majorTickMark val="out"/>
        <c:minorTickMark val="none"/>
        <c:tickLblPos val="nextTo"/>
        <c:crossAx val="8090524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[hospital_dashboard.xlsx]Sheet1!PivotTable8</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Sheet1!$P$6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Sheet1!$O$7:$O$38</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Sheet1!$P$7:$P$38</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0-F1DD-4488-8BE4-26F4A2082EC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22404959"/>
        <c:axId val="1750641712"/>
      </c:areaChart>
      <c:catAx>
        <c:axId val="92240495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50641712"/>
        <c:crosses val="autoZero"/>
        <c:auto val="1"/>
        <c:lblAlgn val="ctr"/>
        <c:lblOffset val="100"/>
        <c:noMultiLvlLbl val="0"/>
      </c:catAx>
      <c:valAx>
        <c:axId val="1750641712"/>
        <c:scaling>
          <c:orientation val="minMax"/>
        </c:scaling>
        <c:delete val="1"/>
        <c:axPos val="l"/>
        <c:numFmt formatCode="0.00" sourceLinked="1"/>
        <c:majorTickMark val="out"/>
        <c:minorTickMark val="none"/>
        <c:tickLblPos val="nextTo"/>
        <c:crossAx val="9224049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withinLinearReversed" id="24">
  <a:schemeClr val="accent4"/>
</cs:colorStyle>
</file>

<file path=xl/charts/colors13.xml><?xml version="1.0" encoding="utf-8"?>
<cs:colorStyle xmlns:cs="http://schemas.microsoft.com/office/drawing/2012/chartStyle" xmlns:a="http://schemas.openxmlformats.org/drawingml/2006/main" meth="withinLinearReversed" id="24">
  <a:schemeClr val="accent4"/>
</cs:colorStyle>
</file>

<file path=xl/charts/colors14.xml><?xml version="1.0" encoding="utf-8"?>
<cs:colorStyle xmlns:cs="http://schemas.microsoft.com/office/drawing/2012/chartStyle" xmlns:a="http://schemas.openxmlformats.org/drawingml/2006/main" meth="withinLinearReversed" id="24">
  <a:schemeClr val="accent4"/>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withinLinearReversed" id="24">
  <a:schemeClr val="accent4"/>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2.xml"/><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emf"/><Relationship Id="rId11" Type="http://schemas.openxmlformats.org/officeDocument/2006/relationships/chart" Target="../charts/chart10.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6.xml"/><Relationship Id="rId18" Type="http://schemas.openxmlformats.org/officeDocument/2006/relationships/hyperlink" Target="#'Daily Total Patients'!A1"/><Relationship Id="rId3" Type="http://schemas.openxmlformats.org/officeDocument/2006/relationships/image" Target="../media/image5.png"/><Relationship Id="rId7" Type="http://schemas.openxmlformats.org/officeDocument/2006/relationships/hyperlink" Target="#'Daily Average Wait Time'!A1"/><Relationship Id="rId12" Type="http://schemas.openxmlformats.org/officeDocument/2006/relationships/chart" Target="../charts/chart15.xml"/><Relationship Id="rId17" Type="http://schemas.openxmlformats.org/officeDocument/2006/relationships/image" Target="../media/image11.svg"/><Relationship Id="rId2" Type="http://schemas.openxmlformats.org/officeDocument/2006/relationships/image" Target="../media/image4.svg"/><Relationship Id="rId16" Type="http://schemas.openxmlformats.org/officeDocument/2006/relationships/image" Target="../media/image10.png"/><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image" Target="../media/image9.emf"/><Relationship Id="rId5" Type="http://schemas.openxmlformats.org/officeDocument/2006/relationships/image" Target="../media/image7.png"/><Relationship Id="rId15" Type="http://schemas.openxmlformats.org/officeDocument/2006/relationships/chart" Target="../charts/chart18.xml"/><Relationship Id="rId10" Type="http://schemas.openxmlformats.org/officeDocument/2006/relationships/chart" Target="../charts/chart14.xml"/><Relationship Id="rId19" Type="http://schemas.openxmlformats.org/officeDocument/2006/relationships/chart" Target="../charts/chart19.xml"/><Relationship Id="rId4" Type="http://schemas.openxmlformats.org/officeDocument/2006/relationships/image" Target="../media/image6.svg"/><Relationship Id="rId9" Type="http://schemas.openxmlformats.org/officeDocument/2006/relationships/hyperlink" Target="#'Daily Average Score'!A1"/><Relationship Id="rId14" Type="http://schemas.openxmlformats.org/officeDocument/2006/relationships/chart" Target="../charts/chart1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editAs="oneCell">
    <xdr:from>
      <xdr:col>7</xdr:col>
      <xdr:colOff>236220</xdr:colOff>
      <xdr:row>23</xdr:row>
      <xdr:rowOff>167640</xdr:rowOff>
    </xdr:from>
    <xdr:to>
      <xdr:col>10</xdr:col>
      <xdr:colOff>236220</xdr:colOff>
      <xdr:row>38</xdr:row>
      <xdr:rowOff>5715</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B2532D1B-C84A-6A87-A6FD-D3E24C9FD04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111240" y="43738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426720</xdr:colOff>
      <xdr:row>19</xdr:row>
      <xdr:rowOff>144780</xdr:rowOff>
    </xdr:from>
    <xdr:to>
      <xdr:col>8</xdr:col>
      <xdr:colOff>411480</xdr:colOff>
      <xdr:row>23</xdr:row>
      <xdr:rowOff>160020</xdr:rowOff>
    </xdr:to>
    <xdr:graphicFrame macro="">
      <xdr:nvGraphicFramePr>
        <xdr:cNvPr id="3" name="Chart 2">
          <a:extLst>
            <a:ext uri="{FF2B5EF4-FFF2-40B4-BE49-F238E27FC236}">
              <a16:creationId xmlns:a16="http://schemas.microsoft.com/office/drawing/2014/main" id="{CB1B8904-9180-C38C-18BA-09C170D4FD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1497753</xdr:colOff>
      <xdr:row>50</xdr:row>
      <xdr:rowOff>38524</xdr:rowOff>
    </xdr:from>
    <xdr:to>
      <xdr:col>15</xdr:col>
      <xdr:colOff>1347893</xdr:colOff>
      <xdr:row>65</xdr:row>
      <xdr:rowOff>38524</xdr:rowOff>
    </xdr:to>
    <xdr:graphicFrame macro="">
      <xdr:nvGraphicFramePr>
        <xdr:cNvPr id="5" name="Chart 4">
          <a:extLst>
            <a:ext uri="{FF2B5EF4-FFF2-40B4-BE49-F238E27FC236}">
              <a16:creationId xmlns:a16="http://schemas.microsoft.com/office/drawing/2014/main" id="{0A772872-A2F3-0661-CFA7-4D6E75B07D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170181</xdr:colOff>
      <xdr:row>4</xdr:row>
      <xdr:rowOff>120332</xdr:rowOff>
    </xdr:from>
    <xdr:to>
      <xdr:col>18</xdr:col>
      <xdr:colOff>453708</xdr:colOff>
      <xdr:row>13</xdr:row>
      <xdr:rowOff>10159</xdr:rowOff>
    </xdr:to>
    <xdr:graphicFrame macro="">
      <xdr:nvGraphicFramePr>
        <xdr:cNvPr id="6" name="Chart 5">
          <a:extLst>
            <a:ext uri="{FF2B5EF4-FFF2-40B4-BE49-F238E27FC236}">
              <a16:creationId xmlns:a16="http://schemas.microsoft.com/office/drawing/2014/main" id="{1EF06A82-CA5B-370D-0D74-FE7098BE1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35</xdr:row>
      <xdr:rowOff>145204</xdr:rowOff>
    </xdr:from>
    <xdr:to>
      <xdr:col>4</xdr:col>
      <xdr:colOff>228600</xdr:colOff>
      <xdr:row>50</xdr:row>
      <xdr:rowOff>145204</xdr:rowOff>
    </xdr:to>
    <xdr:graphicFrame macro="">
      <xdr:nvGraphicFramePr>
        <xdr:cNvPr id="7" name="Chart 6">
          <a:extLst>
            <a:ext uri="{FF2B5EF4-FFF2-40B4-BE49-F238E27FC236}">
              <a16:creationId xmlns:a16="http://schemas.microsoft.com/office/drawing/2014/main" id="{B076FEE4-A8F6-40C5-4AED-1AC24A35B6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967740</xdr:colOff>
      <xdr:row>43</xdr:row>
      <xdr:rowOff>60960</xdr:rowOff>
    </xdr:from>
    <xdr:to>
      <xdr:col>28</xdr:col>
      <xdr:colOff>175260</xdr:colOff>
      <xdr:row>45</xdr:row>
      <xdr:rowOff>175260</xdr:rowOff>
    </xdr:to>
    <xdr:graphicFrame macro="">
      <xdr:nvGraphicFramePr>
        <xdr:cNvPr id="4" name="Chart 3">
          <a:extLst>
            <a:ext uri="{FF2B5EF4-FFF2-40B4-BE49-F238E27FC236}">
              <a16:creationId xmlns:a16="http://schemas.microsoft.com/office/drawing/2014/main" id="{026677BA-BB19-7061-419E-6DB6E4AF8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16</xdr:col>
          <xdr:colOff>0</xdr:colOff>
          <xdr:row>55</xdr:row>
          <xdr:rowOff>0</xdr:rowOff>
        </xdr:from>
        <xdr:to>
          <xdr:col>20</xdr:col>
          <xdr:colOff>298227</xdr:colOff>
          <xdr:row>59</xdr:row>
          <xdr:rowOff>142689</xdr:rowOff>
        </xdr:to>
        <xdr:pic>
          <xdr:nvPicPr>
            <xdr:cNvPr id="8" name="Picture 7">
              <a:extLst>
                <a:ext uri="{FF2B5EF4-FFF2-40B4-BE49-F238E27FC236}">
                  <a16:creationId xmlns:a16="http://schemas.microsoft.com/office/drawing/2014/main" id="{6B651969-2309-4F80-A794-017B9DA31B6A}"/>
                </a:ext>
              </a:extLst>
            </xdr:cNvPr>
            <xdr:cNvPicPr>
              <a:picLocks noChangeAspect="1" noChangeArrowheads="1"/>
              <a:extLst>
                <a:ext uri="{84589F7E-364E-4C9E-8A38-B11213B215E9}">
                  <a14:cameraTool cellRange="Sheet1!$T$44:$AC$46" spid="_x0000_s1122"/>
                </a:ext>
              </a:extLst>
            </xdr:cNvPicPr>
          </xdr:nvPicPr>
          <xdr:blipFill>
            <a:blip xmlns:r="http://schemas.openxmlformats.org/officeDocument/2006/relationships" r:embed="rId6"/>
            <a:srcRect/>
            <a:stretch>
              <a:fillRect/>
            </a:stretch>
          </xdr:blipFill>
          <xdr:spPr bwMode="auto">
            <a:xfrm>
              <a:off x="16123920" y="10058400"/>
              <a:ext cx="5281706" cy="87420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373380</xdr:colOff>
      <xdr:row>84</xdr:row>
      <xdr:rowOff>163830</xdr:rowOff>
    </xdr:from>
    <xdr:to>
      <xdr:col>29</xdr:col>
      <xdr:colOff>205740</xdr:colOff>
      <xdr:row>99</xdr:row>
      <xdr:rowOff>163830</xdr:rowOff>
    </xdr:to>
    <xdr:graphicFrame macro="">
      <xdr:nvGraphicFramePr>
        <xdr:cNvPr id="9" name="Chart 8">
          <a:extLst>
            <a:ext uri="{FF2B5EF4-FFF2-40B4-BE49-F238E27FC236}">
              <a16:creationId xmlns:a16="http://schemas.microsoft.com/office/drawing/2014/main" id="{7C9EED75-9B6E-9E51-F83D-47D61FFDEE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37</xdr:row>
      <xdr:rowOff>163830</xdr:rowOff>
    </xdr:from>
    <xdr:to>
      <xdr:col>3</xdr:col>
      <xdr:colOff>990600</xdr:colOff>
      <xdr:row>52</xdr:row>
      <xdr:rowOff>163830</xdr:rowOff>
    </xdr:to>
    <xdr:graphicFrame macro="">
      <xdr:nvGraphicFramePr>
        <xdr:cNvPr id="11" name="Chart 10">
          <a:extLst>
            <a:ext uri="{FF2B5EF4-FFF2-40B4-BE49-F238E27FC236}">
              <a16:creationId xmlns:a16="http://schemas.microsoft.com/office/drawing/2014/main" id="{7786A6F9-0DAC-E1F3-513A-492B2E8ABD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xdr:col>
      <xdr:colOff>457200</xdr:colOff>
      <xdr:row>61</xdr:row>
      <xdr:rowOff>7621</xdr:rowOff>
    </xdr:from>
    <xdr:to>
      <xdr:col>6</xdr:col>
      <xdr:colOff>415713</xdr:colOff>
      <xdr:row>67</xdr:row>
      <xdr:rowOff>106681</xdr:rowOff>
    </xdr:to>
    <mc:AlternateContent xmlns:mc="http://schemas.openxmlformats.org/markup-compatibility/2006" xmlns:a14="http://schemas.microsoft.com/office/drawing/2010/main">
      <mc:Choice Requires="a14">
        <xdr:graphicFrame macro="">
          <xdr:nvGraphicFramePr>
            <xdr:cNvPr id="13" name="Date (Year)">
              <a:extLst>
                <a:ext uri="{FF2B5EF4-FFF2-40B4-BE49-F238E27FC236}">
                  <a16:creationId xmlns:a16="http://schemas.microsoft.com/office/drawing/2014/main" id="{B054EB5F-8EA1-EB48-4CB3-6C90DFD5783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800600" y="11163301"/>
              <a:ext cx="18288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495300</xdr:colOff>
      <xdr:row>207</xdr:row>
      <xdr:rowOff>175260</xdr:rowOff>
    </xdr:from>
    <xdr:to>
      <xdr:col>12</xdr:col>
      <xdr:colOff>853440</xdr:colOff>
      <xdr:row>217</xdr:row>
      <xdr:rowOff>30480</xdr:rowOff>
    </xdr:to>
    <xdr:graphicFrame macro="">
      <xdr:nvGraphicFramePr>
        <xdr:cNvPr id="10" name="Chart 9">
          <a:extLst>
            <a:ext uri="{FF2B5EF4-FFF2-40B4-BE49-F238E27FC236}">
              <a16:creationId xmlns:a16="http://schemas.microsoft.com/office/drawing/2014/main" id="{13AEB4B1-E75E-551D-9250-81545AA987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1269577</xdr:colOff>
      <xdr:row>219</xdr:row>
      <xdr:rowOff>23284</xdr:rowOff>
    </xdr:from>
    <xdr:to>
      <xdr:col>16</xdr:col>
      <xdr:colOff>899583</xdr:colOff>
      <xdr:row>234</xdr:row>
      <xdr:rowOff>23284</xdr:rowOff>
    </xdr:to>
    <xdr:graphicFrame macro="">
      <xdr:nvGraphicFramePr>
        <xdr:cNvPr id="12" name="Chart 11">
          <a:extLst>
            <a:ext uri="{FF2B5EF4-FFF2-40B4-BE49-F238E27FC236}">
              <a16:creationId xmlns:a16="http://schemas.microsoft.com/office/drawing/2014/main" id="{528A336F-9D9D-0092-E9C7-68C99BC63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233680</xdr:colOff>
      <xdr:row>31</xdr:row>
      <xdr:rowOff>111760</xdr:rowOff>
    </xdr:from>
    <xdr:to>
      <xdr:col>10</xdr:col>
      <xdr:colOff>894080</xdr:colOff>
      <xdr:row>46</xdr:row>
      <xdr:rowOff>111760</xdr:rowOff>
    </xdr:to>
    <xdr:graphicFrame macro="">
      <xdr:nvGraphicFramePr>
        <xdr:cNvPr id="14" name="Chart 13">
          <a:extLst>
            <a:ext uri="{FF2B5EF4-FFF2-40B4-BE49-F238E27FC236}">
              <a16:creationId xmlns:a16="http://schemas.microsoft.com/office/drawing/2014/main" id="{1F02CBC8-5FAA-1822-9E07-8E89B0AF0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690880</xdr:colOff>
      <xdr:row>2</xdr:row>
      <xdr:rowOff>142240</xdr:rowOff>
    </xdr:from>
    <xdr:to>
      <xdr:col>29</xdr:col>
      <xdr:colOff>416560</xdr:colOff>
      <xdr:row>17</xdr:row>
      <xdr:rowOff>142240</xdr:rowOff>
    </xdr:to>
    <xdr:graphicFrame macro="">
      <xdr:nvGraphicFramePr>
        <xdr:cNvPr id="15" name="Chart 14">
          <a:extLst>
            <a:ext uri="{FF2B5EF4-FFF2-40B4-BE49-F238E27FC236}">
              <a16:creationId xmlns:a16="http://schemas.microsoft.com/office/drawing/2014/main" id="{C3AA30B1-4EE6-2A2B-30CE-CD90F52E2D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762000</xdr:colOff>
      <xdr:row>11</xdr:row>
      <xdr:rowOff>132080</xdr:rowOff>
    </xdr:from>
    <xdr:to>
      <xdr:col>21</xdr:col>
      <xdr:colOff>558800</xdr:colOff>
      <xdr:row>26</xdr:row>
      <xdr:rowOff>132080</xdr:rowOff>
    </xdr:to>
    <xdr:graphicFrame macro="">
      <xdr:nvGraphicFramePr>
        <xdr:cNvPr id="16" name="Chart 15">
          <a:extLst>
            <a:ext uri="{FF2B5EF4-FFF2-40B4-BE49-F238E27FC236}">
              <a16:creationId xmlns:a16="http://schemas.microsoft.com/office/drawing/2014/main" id="{DA2E4E38-1698-D1D7-30E6-48902381A7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236220</xdr:colOff>
      <xdr:row>0</xdr:row>
      <xdr:rowOff>76200</xdr:rowOff>
    </xdr:from>
    <xdr:to>
      <xdr:col>6</xdr:col>
      <xdr:colOff>190500</xdr:colOff>
      <xdr:row>3</xdr:row>
      <xdr:rowOff>53340</xdr:rowOff>
    </xdr:to>
    <xdr:sp macro="" textlink="">
      <xdr:nvSpPr>
        <xdr:cNvPr id="3" name="Rectangle 2">
          <a:extLst>
            <a:ext uri="{FF2B5EF4-FFF2-40B4-BE49-F238E27FC236}">
              <a16:creationId xmlns:a16="http://schemas.microsoft.com/office/drawing/2014/main" id="{5ADDCABD-86EB-C8E2-57A0-9E5F2AAF15A3}"/>
            </a:ext>
          </a:extLst>
        </xdr:cNvPr>
        <xdr:cNvSpPr/>
      </xdr:nvSpPr>
      <xdr:spPr>
        <a:xfrm>
          <a:off x="236220" y="76200"/>
          <a:ext cx="3611880" cy="525780"/>
        </a:xfrm>
        <a:prstGeom prst="rect">
          <a:avLst/>
        </a:prstGeom>
        <a:noFill/>
        <a:ln cmpd="sng">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nchorCtr="0"/>
        <a:lstStyle/>
        <a:p>
          <a:pPr algn="ctr"/>
          <a:endParaRPr lang="en-IN" sz="1600">
            <a:solidFill>
              <a:schemeClr val="tx1">
                <a:lumMod val="95000"/>
                <a:lumOff val="5000"/>
              </a:schemeClr>
            </a:solidFill>
          </a:endParaRPr>
        </a:p>
      </xdr:txBody>
    </xdr:sp>
    <xdr:clientData/>
  </xdr:twoCellAnchor>
  <xdr:twoCellAnchor editAs="absolute">
    <xdr:from>
      <xdr:col>6</xdr:col>
      <xdr:colOff>312420</xdr:colOff>
      <xdr:row>0</xdr:row>
      <xdr:rowOff>76200</xdr:rowOff>
    </xdr:from>
    <xdr:to>
      <xdr:col>10</xdr:col>
      <xdr:colOff>289560</xdr:colOff>
      <xdr:row>3</xdr:row>
      <xdr:rowOff>53340</xdr:rowOff>
    </xdr:to>
    <xdr:sp macro="" textlink="">
      <xdr:nvSpPr>
        <xdr:cNvPr id="4" name="Rectangle 3">
          <a:extLst>
            <a:ext uri="{FF2B5EF4-FFF2-40B4-BE49-F238E27FC236}">
              <a16:creationId xmlns:a16="http://schemas.microsoft.com/office/drawing/2014/main" id="{ED4D25D8-069E-4311-84D9-48EADBCB6561}"/>
            </a:ext>
          </a:extLst>
        </xdr:cNvPr>
        <xdr:cNvSpPr/>
      </xdr:nvSpPr>
      <xdr:spPr>
        <a:xfrm>
          <a:off x="3970020" y="76200"/>
          <a:ext cx="2415540" cy="525780"/>
        </a:xfrm>
        <a:prstGeom prst="rect">
          <a:avLst/>
        </a:prstGeom>
        <a:no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a:solidFill>
              <a:schemeClr val="tx1">
                <a:lumMod val="95000"/>
                <a:lumOff val="5000"/>
              </a:schemeClr>
            </a:solidFill>
          </a:endParaRPr>
        </a:p>
      </xdr:txBody>
    </xdr:sp>
    <xdr:clientData/>
  </xdr:twoCellAnchor>
  <xdr:twoCellAnchor editAs="absolute">
    <xdr:from>
      <xdr:col>11</xdr:col>
      <xdr:colOff>22860</xdr:colOff>
      <xdr:row>0</xdr:row>
      <xdr:rowOff>60960</xdr:rowOff>
    </xdr:from>
    <xdr:to>
      <xdr:col>15</xdr:col>
      <xdr:colOff>0</xdr:colOff>
      <xdr:row>10</xdr:row>
      <xdr:rowOff>158750</xdr:rowOff>
    </xdr:to>
    <xdr:sp macro="" textlink="">
      <xdr:nvSpPr>
        <xdr:cNvPr id="5" name="Rectangle 4">
          <a:extLst>
            <a:ext uri="{FF2B5EF4-FFF2-40B4-BE49-F238E27FC236}">
              <a16:creationId xmlns:a16="http://schemas.microsoft.com/office/drawing/2014/main" id="{CAEACB55-7234-40EA-B8A7-9F80966E688B}"/>
            </a:ext>
          </a:extLst>
        </xdr:cNvPr>
        <xdr:cNvSpPr/>
      </xdr:nvSpPr>
      <xdr:spPr>
        <a:xfrm>
          <a:off x="6745923" y="60960"/>
          <a:ext cx="2421890" cy="1923415"/>
        </a:xfrm>
        <a:prstGeom prst="rect">
          <a:avLst/>
        </a:prstGeom>
        <a:no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a:solidFill>
              <a:schemeClr val="tx1">
                <a:lumMod val="95000"/>
                <a:lumOff val="5000"/>
              </a:schemeClr>
            </a:solidFill>
          </a:endParaRPr>
        </a:p>
      </xdr:txBody>
    </xdr:sp>
    <xdr:clientData/>
  </xdr:twoCellAnchor>
  <xdr:twoCellAnchor editAs="absolute">
    <xdr:from>
      <xdr:col>15</xdr:col>
      <xdr:colOff>358140</xdr:colOff>
      <xdr:row>0</xdr:row>
      <xdr:rowOff>45720</xdr:rowOff>
    </xdr:from>
    <xdr:to>
      <xdr:col>19</xdr:col>
      <xdr:colOff>335280</xdr:colOff>
      <xdr:row>10</xdr:row>
      <xdr:rowOff>114300</xdr:rowOff>
    </xdr:to>
    <xdr:sp macro="" textlink="">
      <xdr:nvSpPr>
        <xdr:cNvPr id="6" name="Rectangle 5">
          <a:extLst>
            <a:ext uri="{FF2B5EF4-FFF2-40B4-BE49-F238E27FC236}">
              <a16:creationId xmlns:a16="http://schemas.microsoft.com/office/drawing/2014/main" id="{453CCD35-7930-48E7-903B-3E7EB0F71457}"/>
            </a:ext>
          </a:extLst>
        </xdr:cNvPr>
        <xdr:cNvSpPr/>
      </xdr:nvSpPr>
      <xdr:spPr>
        <a:xfrm>
          <a:off x="9502140" y="45720"/>
          <a:ext cx="2415540" cy="189738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a:solidFill>
              <a:schemeClr val="tx1">
                <a:lumMod val="95000"/>
                <a:lumOff val="5000"/>
              </a:schemeClr>
            </a:solidFill>
          </a:endParaRPr>
        </a:p>
      </xdr:txBody>
    </xdr:sp>
    <xdr:clientData/>
  </xdr:twoCellAnchor>
  <xdr:twoCellAnchor editAs="absolute">
    <xdr:from>
      <xdr:col>0</xdr:col>
      <xdr:colOff>175260</xdr:colOff>
      <xdr:row>3</xdr:row>
      <xdr:rowOff>144780</xdr:rowOff>
    </xdr:from>
    <xdr:to>
      <xdr:col>1</xdr:col>
      <xdr:colOff>472440</xdr:colOff>
      <xdr:row>24</xdr:row>
      <xdr:rowOff>99060</xdr:rowOff>
    </xdr:to>
    <xdr:sp macro="" textlink="">
      <xdr:nvSpPr>
        <xdr:cNvPr id="7" name="Rectangle 6">
          <a:extLst>
            <a:ext uri="{FF2B5EF4-FFF2-40B4-BE49-F238E27FC236}">
              <a16:creationId xmlns:a16="http://schemas.microsoft.com/office/drawing/2014/main" id="{3DD34694-A0AF-4755-8C66-DE4FEAA4B735}"/>
            </a:ext>
          </a:extLst>
        </xdr:cNvPr>
        <xdr:cNvSpPr/>
      </xdr:nvSpPr>
      <xdr:spPr>
        <a:xfrm>
          <a:off x="175260" y="693420"/>
          <a:ext cx="906780" cy="3794760"/>
        </a:xfrm>
        <a:prstGeom prst="rect">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a:ln>
              <a:noFill/>
            </a:ln>
            <a:solidFill>
              <a:schemeClr val="tx1">
                <a:lumMod val="95000"/>
                <a:lumOff val="5000"/>
              </a:schemeClr>
            </a:solidFill>
          </a:endParaRPr>
        </a:p>
      </xdr:txBody>
    </xdr:sp>
    <xdr:clientData/>
  </xdr:twoCellAnchor>
  <xdr:twoCellAnchor editAs="absolute">
    <xdr:from>
      <xdr:col>1</xdr:col>
      <xdr:colOff>556260</xdr:colOff>
      <xdr:row>3</xdr:row>
      <xdr:rowOff>152400</xdr:rowOff>
    </xdr:from>
    <xdr:to>
      <xdr:col>10</xdr:col>
      <xdr:colOff>274320</xdr:colOff>
      <xdr:row>10</xdr:row>
      <xdr:rowOff>144780</xdr:rowOff>
    </xdr:to>
    <xdr:grpSp>
      <xdr:nvGrpSpPr>
        <xdr:cNvPr id="13" name="Group 12">
          <a:extLst>
            <a:ext uri="{FF2B5EF4-FFF2-40B4-BE49-F238E27FC236}">
              <a16:creationId xmlns:a16="http://schemas.microsoft.com/office/drawing/2014/main" id="{A93E2398-26EB-671F-363F-3AD74B3743E9}"/>
            </a:ext>
          </a:extLst>
        </xdr:cNvPr>
        <xdr:cNvGrpSpPr/>
      </xdr:nvGrpSpPr>
      <xdr:grpSpPr>
        <a:xfrm>
          <a:off x="1168848" y="690282"/>
          <a:ext cx="5231354" cy="1247439"/>
          <a:chOff x="1158240" y="792480"/>
          <a:chExt cx="5204460" cy="891540"/>
        </a:xfrm>
      </xdr:grpSpPr>
      <xdr:sp macro="" textlink="">
        <xdr:nvSpPr>
          <xdr:cNvPr id="8" name="Rectangle 7">
            <a:extLst>
              <a:ext uri="{FF2B5EF4-FFF2-40B4-BE49-F238E27FC236}">
                <a16:creationId xmlns:a16="http://schemas.microsoft.com/office/drawing/2014/main" id="{1BE9A276-C719-4932-903E-EE6B5FEA3F3E}"/>
              </a:ext>
            </a:extLst>
          </xdr:cNvPr>
          <xdr:cNvSpPr/>
        </xdr:nvSpPr>
        <xdr:spPr>
          <a:xfrm>
            <a:off x="1158240" y="792480"/>
            <a:ext cx="1511772" cy="891540"/>
          </a:xfrm>
          <a:prstGeom prst="rect">
            <a:avLst/>
          </a:prstGeom>
          <a:solidFill>
            <a:schemeClr val="bg1">
              <a:lumMod val="9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a:solidFill>
                <a:schemeClr val="tx1">
                  <a:lumMod val="95000"/>
                  <a:lumOff val="5000"/>
                </a:schemeClr>
              </a:solidFill>
            </a:endParaRPr>
          </a:p>
        </xdr:txBody>
      </xdr:sp>
      <xdr:sp macro="" textlink="">
        <xdr:nvSpPr>
          <xdr:cNvPr id="9" name="Rectangle 8">
            <a:extLst>
              <a:ext uri="{FF2B5EF4-FFF2-40B4-BE49-F238E27FC236}">
                <a16:creationId xmlns:a16="http://schemas.microsoft.com/office/drawing/2014/main" id="{E6A103DE-A12E-97A0-4165-DE77EEA23278}"/>
              </a:ext>
            </a:extLst>
          </xdr:cNvPr>
          <xdr:cNvSpPr/>
        </xdr:nvSpPr>
        <xdr:spPr>
          <a:xfrm>
            <a:off x="2983932" y="792480"/>
            <a:ext cx="1511772" cy="891540"/>
          </a:xfrm>
          <a:prstGeom prst="rect">
            <a:avLst/>
          </a:prstGeom>
          <a:solidFill>
            <a:schemeClr val="bg1">
              <a:lumMod val="9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a:solidFill>
                <a:schemeClr val="tx1">
                  <a:lumMod val="95000"/>
                  <a:lumOff val="5000"/>
                </a:schemeClr>
              </a:solidFill>
            </a:endParaRPr>
          </a:p>
        </xdr:txBody>
      </xdr:sp>
      <xdr:sp macro="" textlink="">
        <xdr:nvSpPr>
          <xdr:cNvPr id="10" name="Rectangle 9">
            <a:extLst>
              <a:ext uri="{FF2B5EF4-FFF2-40B4-BE49-F238E27FC236}">
                <a16:creationId xmlns:a16="http://schemas.microsoft.com/office/drawing/2014/main" id="{6972E900-250A-473F-A805-94D6024E0E20}"/>
              </a:ext>
            </a:extLst>
          </xdr:cNvPr>
          <xdr:cNvSpPr/>
        </xdr:nvSpPr>
        <xdr:spPr>
          <a:xfrm>
            <a:off x="4850928" y="792480"/>
            <a:ext cx="1511772" cy="891540"/>
          </a:xfrm>
          <a:prstGeom prst="rect">
            <a:avLst/>
          </a:prstGeom>
          <a:solidFill>
            <a:schemeClr val="bg1">
              <a:lumMod val="9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a:solidFill>
                <a:schemeClr val="tx1">
                  <a:lumMod val="95000"/>
                  <a:lumOff val="5000"/>
                </a:schemeClr>
              </a:solidFill>
            </a:endParaRPr>
          </a:p>
        </xdr:txBody>
      </xdr:sp>
    </xdr:grpSp>
    <xdr:clientData/>
  </xdr:twoCellAnchor>
  <xdr:twoCellAnchor editAs="absolute">
    <xdr:from>
      <xdr:col>1</xdr:col>
      <xdr:colOff>563880</xdr:colOff>
      <xdr:row>16</xdr:row>
      <xdr:rowOff>76200</xdr:rowOff>
    </xdr:from>
    <xdr:to>
      <xdr:col>10</xdr:col>
      <xdr:colOff>320040</xdr:colOff>
      <xdr:row>24</xdr:row>
      <xdr:rowOff>99060</xdr:rowOff>
    </xdr:to>
    <xdr:sp macro="" textlink="">
      <xdr:nvSpPr>
        <xdr:cNvPr id="12" name="Rectangle 11">
          <a:extLst>
            <a:ext uri="{FF2B5EF4-FFF2-40B4-BE49-F238E27FC236}">
              <a16:creationId xmlns:a16="http://schemas.microsoft.com/office/drawing/2014/main" id="{C3536438-0CC9-4EA7-8FF4-0EAD7E4E9711}"/>
            </a:ext>
          </a:extLst>
        </xdr:cNvPr>
        <xdr:cNvSpPr/>
      </xdr:nvSpPr>
      <xdr:spPr>
        <a:xfrm>
          <a:off x="1173480" y="3002280"/>
          <a:ext cx="5242560" cy="1485900"/>
        </a:xfrm>
        <a:prstGeom prst="rect">
          <a:avLst/>
        </a:prstGeom>
        <a:solidFill>
          <a:schemeClr val="bg1">
            <a:lumMod val="95000"/>
          </a:schemeClr>
        </a:solidFill>
        <a:ln cmpd="sng">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a:solidFill>
              <a:schemeClr val="tx1">
                <a:lumMod val="95000"/>
                <a:lumOff val="5000"/>
              </a:schemeClr>
            </a:solidFill>
          </a:endParaRPr>
        </a:p>
      </xdr:txBody>
    </xdr:sp>
    <xdr:clientData/>
  </xdr:twoCellAnchor>
  <xdr:twoCellAnchor editAs="absolute">
    <xdr:from>
      <xdr:col>1</xdr:col>
      <xdr:colOff>563880</xdr:colOff>
      <xdr:row>11</xdr:row>
      <xdr:rowOff>99060</xdr:rowOff>
    </xdr:from>
    <xdr:to>
      <xdr:col>10</xdr:col>
      <xdr:colOff>320040</xdr:colOff>
      <xdr:row>15</xdr:row>
      <xdr:rowOff>128942</xdr:rowOff>
    </xdr:to>
    <xdr:sp macro="" textlink="">
      <xdr:nvSpPr>
        <xdr:cNvPr id="14" name="Rectangle 13">
          <a:extLst>
            <a:ext uri="{FF2B5EF4-FFF2-40B4-BE49-F238E27FC236}">
              <a16:creationId xmlns:a16="http://schemas.microsoft.com/office/drawing/2014/main" id="{CE4CA248-1CD9-49DB-9D74-85C16A47B90A}"/>
            </a:ext>
          </a:extLst>
        </xdr:cNvPr>
        <xdr:cNvSpPr/>
      </xdr:nvSpPr>
      <xdr:spPr>
        <a:xfrm>
          <a:off x="1173480" y="2128386"/>
          <a:ext cx="5242560" cy="767819"/>
        </a:xfrm>
        <a:prstGeom prst="rect">
          <a:avLst/>
        </a:prstGeom>
        <a:solidFill>
          <a:schemeClr val="bg1">
            <a:lumMod val="9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a:solidFill>
              <a:schemeClr val="tx1">
                <a:lumMod val="95000"/>
                <a:lumOff val="5000"/>
              </a:schemeClr>
            </a:solidFill>
          </a:endParaRPr>
        </a:p>
      </xdr:txBody>
    </xdr:sp>
    <xdr:clientData/>
  </xdr:twoCellAnchor>
  <xdr:twoCellAnchor editAs="absolute">
    <xdr:from>
      <xdr:col>10</xdr:col>
      <xdr:colOff>502920</xdr:colOff>
      <xdr:row>11</xdr:row>
      <xdr:rowOff>99060</xdr:rowOff>
    </xdr:from>
    <xdr:to>
      <xdr:col>19</xdr:col>
      <xdr:colOff>358140</xdr:colOff>
      <xdr:row>24</xdr:row>
      <xdr:rowOff>76200</xdr:rowOff>
    </xdr:to>
    <xdr:sp macro="" textlink="">
      <xdr:nvSpPr>
        <xdr:cNvPr id="15" name="Rectangle 14">
          <a:extLst>
            <a:ext uri="{FF2B5EF4-FFF2-40B4-BE49-F238E27FC236}">
              <a16:creationId xmlns:a16="http://schemas.microsoft.com/office/drawing/2014/main" id="{D746CFA1-C418-4DB7-9885-19A7D76CF49A}"/>
            </a:ext>
          </a:extLst>
        </xdr:cNvPr>
        <xdr:cNvSpPr/>
      </xdr:nvSpPr>
      <xdr:spPr>
        <a:xfrm>
          <a:off x="6598920" y="2128386"/>
          <a:ext cx="5341620" cy="237543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a:solidFill>
              <a:schemeClr val="tx1">
                <a:lumMod val="95000"/>
                <a:lumOff val="5000"/>
              </a:schemeClr>
            </a:solidFill>
          </a:endParaRPr>
        </a:p>
      </xdr:txBody>
    </xdr:sp>
    <xdr:clientData/>
  </xdr:twoCellAnchor>
  <xdr:twoCellAnchor>
    <xdr:from>
      <xdr:col>1</xdr:col>
      <xdr:colOff>411480</xdr:colOff>
      <xdr:row>0</xdr:row>
      <xdr:rowOff>144780</xdr:rowOff>
    </xdr:from>
    <xdr:to>
      <xdr:col>6</xdr:col>
      <xdr:colOff>129540</xdr:colOff>
      <xdr:row>2</xdr:row>
      <xdr:rowOff>144780</xdr:rowOff>
    </xdr:to>
    <xdr:sp macro="" textlink="">
      <xdr:nvSpPr>
        <xdr:cNvPr id="16" name="TextBox 15">
          <a:extLst>
            <a:ext uri="{FF2B5EF4-FFF2-40B4-BE49-F238E27FC236}">
              <a16:creationId xmlns:a16="http://schemas.microsoft.com/office/drawing/2014/main" id="{A39A1B84-6AED-E085-4B7D-46BA3E14E00F}"/>
            </a:ext>
          </a:extLst>
        </xdr:cNvPr>
        <xdr:cNvSpPr txBox="1"/>
      </xdr:nvSpPr>
      <xdr:spPr>
        <a:xfrm>
          <a:off x="1021080" y="144780"/>
          <a:ext cx="2766060" cy="368968"/>
        </a:xfrm>
        <a:prstGeom prst="rect">
          <a:avLst/>
        </a:prstGeom>
        <a:no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300" b="1">
              <a:solidFill>
                <a:schemeClr val="accent4"/>
              </a:solidFill>
            </a:rPr>
            <a:t>Hospital Emergency Room Dashboard</a:t>
          </a:r>
        </a:p>
      </xdr:txBody>
    </xdr:sp>
    <xdr:clientData/>
  </xdr:twoCellAnchor>
  <xdr:twoCellAnchor>
    <xdr:from>
      <xdr:col>2</xdr:col>
      <xdr:colOff>0</xdr:colOff>
      <xdr:row>4</xdr:row>
      <xdr:rowOff>7620</xdr:rowOff>
    </xdr:from>
    <xdr:to>
      <xdr:col>3</xdr:col>
      <xdr:colOff>144780</xdr:colOff>
      <xdr:row>5</xdr:row>
      <xdr:rowOff>76200</xdr:rowOff>
    </xdr:to>
    <xdr:sp macro="" textlink="Sheet1!A6">
      <xdr:nvSpPr>
        <xdr:cNvPr id="17" name="TextBox 16">
          <a:extLst>
            <a:ext uri="{FF2B5EF4-FFF2-40B4-BE49-F238E27FC236}">
              <a16:creationId xmlns:a16="http://schemas.microsoft.com/office/drawing/2014/main" id="{DBF205A4-D4D0-EBD3-3AEE-307D04F23601}"/>
            </a:ext>
          </a:extLst>
        </xdr:cNvPr>
        <xdr:cNvSpPr txBox="1"/>
      </xdr:nvSpPr>
      <xdr:spPr>
        <a:xfrm>
          <a:off x="1219200" y="739140"/>
          <a:ext cx="75438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3486D5-91B9-4803-A680-77F37D673B81}" type="TxLink">
            <a:rPr lang="en-US" sz="1100" b="0" i="0" u="none" strike="noStrike">
              <a:solidFill>
                <a:srgbClr val="000000"/>
              </a:solidFill>
              <a:latin typeface="Aptos Narrow"/>
            </a:rPr>
            <a:pPr algn="ctr"/>
            <a:t>506</a:t>
          </a:fld>
          <a:endParaRPr lang="en-US" sz="1100"/>
        </a:p>
      </xdr:txBody>
    </xdr:sp>
    <xdr:clientData/>
  </xdr:twoCellAnchor>
  <xdr:twoCellAnchor>
    <xdr:from>
      <xdr:col>2</xdr:col>
      <xdr:colOff>7620</xdr:colOff>
      <xdr:row>5</xdr:row>
      <xdr:rowOff>106680</xdr:rowOff>
    </xdr:from>
    <xdr:to>
      <xdr:col>4</xdr:col>
      <xdr:colOff>38100</xdr:colOff>
      <xdr:row>7</xdr:row>
      <xdr:rowOff>76200</xdr:rowOff>
    </xdr:to>
    <xdr:sp macro="" textlink="">
      <xdr:nvSpPr>
        <xdr:cNvPr id="19" name="TextBox 18">
          <a:extLst>
            <a:ext uri="{FF2B5EF4-FFF2-40B4-BE49-F238E27FC236}">
              <a16:creationId xmlns:a16="http://schemas.microsoft.com/office/drawing/2014/main" id="{553F9A0A-5165-4F8B-99BB-1600D013EB39}"/>
            </a:ext>
          </a:extLst>
        </xdr:cNvPr>
        <xdr:cNvSpPr txBox="1"/>
      </xdr:nvSpPr>
      <xdr:spPr>
        <a:xfrm>
          <a:off x="1226820" y="1021080"/>
          <a:ext cx="1249680" cy="335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 No of Patients</a:t>
          </a:r>
        </a:p>
      </xdr:txBody>
    </xdr:sp>
    <xdr:clientData/>
  </xdr:twoCellAnchor>
  <xdr:twoCellAnchor>
    <xdr:from>
      <xdr:col>4</xdr:col>
      <xdr:colOff>587374</xdr:colOff>
      <xdr:row>3</xdr:row>
      <xdr:rowOff>182245</xdr:rowOff>
    </xdr:from>
    <xdr:to>
      <xdr:col>6</xdr:col>
      <xdr:colOff>214312</xdr:colOff>
      <xdr:row>5</xdr:row>
      <xdr:rowOff>63500</xdr:rowOff>
    </xdr:to>
    <xdr:sp macro="" textlink="">
      <xdr:nvSpPr>
        <xdr:cNvPr id="2" name="TextBox 1">
          <a:extLst>
            <a:ext uri="{FF2B5EF4-FFF2-40B4-BE49-F238E27FC236}">
              <a16:creationId xmlns:a16="http://schemas.microsoft.com/office/drawing/2014/main" id="{BF326F85-24E9-D84B-B00D-6E97858EE689}"/>
            </a:ext>
          </a:extLst>
        </xdr:cNvPr>
        <xdr:cNvSpPr txBox="1"/>
      </xdr:nvSpPr>
      <xdr:spPr>
        <a:xfrm>
          <a:off x="3032124" y="729933"/>
          <a:ext cx="849313" cy="246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t>35.26 (min)</a:t>
          </a:r>
        </a:p>
      </xdr:txBody>
    </xdr:sp>
    <xdr:clientData/>
  </xdr:twoCellAnchor>
  <xdr:twoCellAnchor>
    <xdr:from>
      <xdr:col>4</xdr:col>
      <xdr:colOff>594360</xdr:colOff>
      <xdr:row>5</xdr:row>
      <xdr:rowOff>99060</xdr:rowOff>
    </xdr:from>
    <xdr:to>
      <xdr:col>7</xdr:col>
      <xdr:colOff>167640</xdr:colOff>
      <xdr:row>7</xdr:row>
      <xdr:rowOff>68580</xdr:rowOff>
    </xdr:to>
    <xdr:sp macro="" textlink="">
      <xdr:nvSpPr>
        <xdr:cNvPr id="11" name="TextBox 10">
          <a:extLst>
            <a:ext uri="{FF2B5EF4-FFF2-40B4-BE49-F238E27FC236}">
              <a16:creationId xmlns:a16="http://schemas.microsoft.com/office/drawing/2014/main" id="{ECE74D4D-9BFC-9DDB-BC08-936E1D6C7BE0}"/>
            </a:ext>
          </a:extLst>
        </xdr:cNvPr>
        <xdr:cNvSpPr txBox="1"/>
      </xdr:nvSpPr>
      <xdr:spPr>
        <a:xfrm>
          <a:off x="3039110" y="1011873"/>
          <a:ext cx="1406843" cy="3346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Average</a:t>
          </a:r>
          <a:r>
            <a:rPr lang="en-US" sz="1100" baseline="0"/>
            <a:t> Wait Time</a:t>
          </a:r>
          <a:endParaRPr lang="en-US" sz="1100"/>
        </a:p>
      </xdr:txBody>
    </xdr:sp>
    <xdr:clientData/>
  </xdr:twoCellAnchor>
  <xdr:twoCellAnchor>
    <xdr:from>
      <xdr:col>8</xdr:col>
      <xdr:colOff>7620</xdr:colOff>
      <xdr:row>3</xdr:row>
      <xdr:rowOff>167640</xdr:rowOff>
    </xdr:from>
    <xdr:to>
      <xdr:col>9</xdr:col>
      <xdr:colOff>152400</xdr:colOff>
      <xdr:row>5</xdr:row>
      <xdr:rowOff>53340</xdr:rowOff>
    </xdr:to>
    <xdr:sp macro="" textlink="Sheet1!A19">
      <xdr:nvSpPr>
        <xdr:cNvPr id="18" name="TextBox 17">
          <a:extLst>
            <a:ext uri="{FF2B5EF4-FFF2-40B4-BE49-F238E27FC236}">
              <a16:creationId xmlns:a16="http://schemas.microsoft.com/office/drawing/2014/main" id="{9AFDB8AA-73A7-4294-B3BC-54D2F1560C1A}"/>
            </a:ext>
          </a:extLst>
        </xdr:cNvPr>
        <xdr:cNvSpPr txBox="1"/>
      </xdr:nvSpPr>
      <xdr:spPr>
        <a:xfrm>
          <a:off x="4884420" y="716280"/>
          <a:ext cx="75438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296CBC-A8B7-41B5-B194-07B21EBD414B}" type="TxLink">
            <a:rPr lang="en-US" sz="1100" b="0" i="0" u="none" strike="noStrike">
              <a:solidFill>
                <a:srgbClr val="000000"/>
              </a:solidFill>
              <a:latin typeface="Aptos Narrow"/>
            </a:rPr>
            <a:pPr algn="ctr"/>
            <a:t>5.33</a:t>
          </a:fld>
          <a:endParaRPr lang="en-US" sz="1100"/>
        </a:p>
      </xdr:txBody>
    </xdr:sp>
    <xdr:clientData/>
  </xdr:twoCellAnchor>
  <xdr:twoCellAnchor>
    <xdr:from>
      <xdr:col>8</xdr:col>
      <xdr:colOff>7620</xdr:colOff>
      <xdr:row>5</xdr:row>
      <xdr:rowOff>68581</xdr:rowOff>
    </xdr:from>
    <xdr:to>
      <xdr:col>10</xdr:col>
      <xdr:colOff>243840</xdr:colOff>
      <xdr:row>7</xdr:row>
      <xdr:rowOff>134938</xdr:rowOff>
    </xdr:to>
    <xdr:sp macro="" textlink="">
      <xdr:nvSpPr>
        <xdr:cNvPr id="20" name="TextBox 19">
          <a:extLst>
            <a:ext uri="{FF2B5EF4-FFF2-40B4-BE49-F238E27FC236}">
              <a16:creationId xmlns:a16="http://schemas.microsoft.com/office/drawing/2014/main" id="{817E5D91-996D-446F-93BB-D61C75E628F8}"/>
            </a:ext>
          </a:extLst>
        </xdr:cNvPr>
        <xdr:cNvSpPr txBox="1"/>
      </xdr:nvSpPr>
      <xdr:spPr>
        <a:xfrm>
          <a:off x="4897120" y="981394"/>
          <a:ext cx="1458595" cy="4314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Patient</a:t>
          </a:r>
          <a:r>
            <a:rPr lang="en-US" sz="1100" baseline="0"/>
            <a:t> Satisfaction Score</a:t>
          </a:r>
          <a:endParaRPr lang="en-US" sz="1100"/>
        </a:p>
      </xdr:txBody>
    </xdr:sp>
    <xdr:clientData/>
  </xdr:twoCellAnchor>
  <xdr:twoCellAnchor editAs="oneCell">
    <xdr:from>
      <xdr:col>3</xdr:col>
      <xdr:colOff>487680</xdr:colOff>
      <xdr:row>3</xdr:row>
      <xdr:rowOff>160020</xdr:rowOff>
    </xdr:from>
    <xdr:to>
      <xdr:col>4</xdr:col>
      <xdr:colOff>205740</xdr:colOff>
      <xdr:row>5</xdr:row>
      <xdr:rowOff>121920</xdr:rowOff>
    </xdr:to>
    <xdr:pic>
      <xdr:nvPicPr>
        <xdr:cNvPr id="22" name="Graphic 21" descr="User with solid fill">
          <a:extLst>
            <a:ext uri="{FF2B5EF4-FFF2-40B4-BE49-F238E27FC236}">
              <a16:creationId xmlns:a16="http://schemas.microsoft.com/office/drawing/2014/main" id="{F2E9C7D6-D459-8C12-7E1A-20BA81FA24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16480" y="708660"/>
          <a:ext cx="327660" cy="327660"/>
        </a:xfrm>
        <a:prstGeom prst="rect">
          <a:avLst/>
        </a:prstGeom>
      </xdr:spPr>
    </xdr:pic>
    <xdr:clientData/>
  </xdr:twoCellAnchor>
  <xdr:twoCellAnchor editAs="oneCell">
    <xdr:from>
      <xdr:col>9</xdr:col>
      <xdr:colOff>275908</xdr:colOff>
      <xdr:row>3</xdr:row>
      <xdr:rowOff>30163</xdr:rowOff>
    </xdr:from>
    <xdr:to>
      <xdr:col>10</xdr:col>
      <xdr:colOff>176848</xdr:colOff>
      <xdr:row>5</xdr:row>
      <xdr:rowOff>174625</xdr:rowOff>
    </xdr:to>
    <xdr:pic>
      <xdr:nvPicPr>
        <xdr:cNvPr id="24" name="Graphic 23" descr="Rating Star with solid fill">
          <a:extLst>
            <a:ext uri="{FF2B5EF4-FFF2-40B4-BE49-F238E27FC236}">
              <a16:creationId xmlns:a16="http://schemas.microsoft.com/office/drawing/2014/main" id="{BEC151F0-A1F5-6B79-009F-84E714B1921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76596" y="577851"/>
          <a:ext cx="512127" cy="509587"/>
        </a:xfrm>
        <a:prstGeom prst="rect">
          <a:avLst/>
        </a:prstGeom>
      </xdr:spPr>
    </xdr:pic>
    <xdr:clientData/>
  </xdr:twoCellAnchor>
  <xdr:twoCellAnchor editAs="oneCell">
    <xdr:from>
      <xdr:col>6</xdr:col>
      <xdr:colOff>502920</xdr:colOff>
      <xdr:row>3</xdr:row>
      <xdr:rowOff>167640</xdr:rowOff>
    </xdr:from>
    <xdr:to>
      <xdr:col>7</xdr:col>
      <xdr:colOff>198120</xdr:colOff>
      <xdr:row>5</xdr:row>
      <xdr:rowOff>106680</xdr:rowOff>
    </xdr:to>
    <xdr:pic>
      <xdr:nvPicPr>
        <xdr:cNvPr id="26" name="Graphic 25" descr="Stopwatch 75% with solid fill">
          <a:extLst>
            <a:ext uri="{FF2B5EF4-FFF2-40B4-BE49-F238E27FC236}">
              <a16:creationId xmlns:a16="http://schemas.microsoft.com/office/drawing/2014/main" id="{12899716-96AF-B9DF-BF73-937B9D9BBD8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60520" y="716280"/>
          <a:ext cx="304800" cy="304800"/>
        </a:xfrm>
        <a:prstGeom prst="rect">
          <a:avLst/>
        </a:prstGeom>
      </xdr:spPr>
    </xdr:pic>
    <xdr:clientData/>
  </xdr:twoCellAnchor>
  <xdr:twoCellAnchor editAs="oneCell">
    <xdr:from>
      <xdr:col>0</xdr:col>
      <xdr:colOff>251460</xdr:colOff>
      <xdr:row>4</xdr:row>
      <xdr:rowOff>83819</xdr:rowOff>
    </xdr:from>
    <xdr:to>
      <xdr:col>1</xdr:col>
      <xdr:colOff>419100</xdr:colOff>
      <xdr:row>24</xdr:row>
      <xdr:rowOff>40104</xdr:rowOff>
    </xdr:to>
    <mc:AlternateContent xmlns:mc="http://schemas.openxmlformats.org/markup-compatibility/2006" xmlns:a14="http://schemas.microsoft.com/office/drawing/2010/main">
      <mc:Choice Requires="a14">
        <xdr:graphicFrame macro="">
          <xdr:nvGraphicFramePr>
            <xdr:cNvPr id="27" name="Date (Month) 1">
              <a:extLst>
                <a:ext uri="{FF2B5EF4-FFF2-40B4-BE49-F238E27FC236}">
                  <a16:creationId xmlns:a16="http://schemas.microsoft.com/office/drawing/2014/main" id="{63E61EC4-63A1-489C-B5D8-93E131F77C6F}"/>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251460" y="815340"/>
              <a:ext cx="777240" cy="3543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555627</xdr:colOff>
      <xdr:row>7</xdr:row>
      <xdr:rowOff>128337</xdr:rowOff>
    </xdr:from>
    <xdr:to>
      <xdr:col>7</xdr:col>
      <xdr:colOff>220061</xdr:colOff>
      <xdr:row>10</xdr:row>
      <xdr:rowOff>147802</xdr:rowOff>
    </xdr:to>
    <xdr:graphicFrame macro="">
      <xdr:nvGraphicFramePr>
        <xdr:cNvPr id="21" name="Chart 20">
          <a:hlinkClick xmlns:r="http://schemas.openxmlformats.org/officeDocument/2006/relationships" r:id="rId7"/>
          <a:extLst>
            <a:ext uri="{FF2B5EF4-FFF2-40B4-BE49-F238E27FC236}">
              <a16:creationId xmlns:a16="http://schemas.microsoft.com/office/drawing/2014/main" id="{430974AC-8C68-4E1D-A329-947891513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601980</xdr:colOff>
      <xdr:row>8</xdr:row>
      <xdr:rowOff>0</xdr:rowOff>
    </xdr:from>
    <xdr:to>
      <xdr:col>10</xdr:col>
      <xdr:colOff>266700</xdr:colOff>
      <xdr:row>10</xdr:row>
      <xdr:rowOff>152400</xdr:rowOff>
    </xdr:to>
    <xdr:graphicFrame macro="">
      <xdr:nvGraphicFramePr>
        <xdr:cNvPr id="23" name="Chart 22">
          <a:hlinkClick xmlns:r="http://schemas.openxmlformats.org/officeDocument/2006/relationships" r:id="rId9"/>
          <a:extLst>
            <a:ext uri="{FF2B5EF4-FFF2-40B4-BE49-F238E27FC236}">
              <a16:creationId xmlns:a16="http://schemas.microsoft.com/office/drawing/2014/main" id="{DB1AFC8A-D446-4FAA-91C7-11F9CDD9F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593558</xdr:colOff>
          <xdr:row>11</xdr:row>
          <xdr:rowOff>176464</xdr:rowOff>
        </xdr:from>
        <xdr:to>
          <xdr:col>10</xdr:col>
          <xdr:colOff>288757</xdr:colOff>
          <xdr:row>15</xdr:row>
          <xdr:rowOff>22009</xdr:rowOff>
        </xdr:to>
        <xdr:pic>
          <xdr:nvPicPr>
            <xdr:cNvPr id="31" name="Picture 30">
              <a:extLst>
                <a:ext uri="{FF2B5EF4-FFF2-40B4-BE49-F238E27FC236}">
                  <a16:creationId xmlns:a16="http://schemas.microsoft.com/office/drawing/2014/main" id="{2D5FBD22-2EBA-B4CF-6AD3-83E17A60887A}"/>
                </a:ext>
              </a:extLst>
            </xdr:cNvPr>
            <xdr:cNvPicPr>
              <a:picLocks noChangeAspect="1" noChangeArrowheads="1"/>
              <a:extLst>
                <a:ext uri="{84589F7E-364E-4C9E-8A38-B11213B215E9}">
                  <a14:cameraTool cellRange="Sheet1!$T$44:$AD$46" spid="_x0000_s2146"/>
                </a:ext>
              </a:extLst>
            </xdr:cNvPicPr>
          </xdr:nvPicPr>
          <xdr:blipFill>
            <a:blip xmlns:r="http://schemas.openxmlformats.org/officeDocument/2006/relationships" r:embed="rId11"/>
            <a:srcRect/>
            <a:stretch>
              <a:fillRect/>
            </a:stretch>
          </xdr:blipFill>
          <xdr:spPr bwMode="auto">
            <a:xfrm>
              <a:off x="1203158" y="2205790"/>
              <a:ext cx="5181599" cy="58348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567765</xdr:colOff>
      <xdr:row>16</xdr:row>
      <xdr:rowOff>82176</xdr:rowOff>
    </xdr:from>
    <xdr:to>
      <xdr:col>10</xdr:col>
      <xdr:colOff>320040</xdr:colOff>
      <xdr:row>24</xdr:row>
      <xdr:rowOff>97117</xdr:rowOff>
    </xdr:to>
    <xdr:graphicFrame macro="">
      <xdr:nvGraphicFramePr>
        <xdr:cNvPr id="32" name="Chart 31">
          <a:extLst>
            <a:ext uri="{FF2B5EF4-FFF2-40B4-BE49-F238E27FC236}">
              <a16:creationId xmlns:a16="http://schemas.microsoft.com/office/drawing/2014/main" id="{6370C6FC-19BB-4FDC-9B76-F73AC7B590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22860</xdr:colOff>
      <xdr:row>0</xdr:row>
      <xdr:rowOff>45720</xdr:rowOff>
    </xdr:from>
    <xdr:to>
      <xdr:col>15</xdr:col>
      <xdr:colOff>0</xdr:colOff>
      <xdr:row>10</xdr:row>
      <xdr:rowOff>141973</xdr:rowOff>
    </xdr:to>
    <xdr:graphicFrame macro="">
      <xdr:nvGraphicFramePr>
        <xdr:cNvPr id="36" name="Chart 35">
          <a:extLst>
            <a:ext uri="{FF2B5EF4-FFF2-40B4-BE49-F238E27FC236}">
              <a16:creationId xmlns:a16="http://schemas.microsoft.com/office/drawing/2014/main" id="{3751D3F7-8F07-4229-9963-41EDB7196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336884</xdr:colOff>
      <xdr:row>0</xdr:row>
      <xdr:rowOff>7938</xdr:rowOff>
    </xdr:from>
    <xdr:to>
      <xdr:col>19</xdr:col>
      <xdr:colOff>358139</xdr:colOff>
      <xdr:row>10</xdr:row>
      <xdr:rowOff>112294</xdr:rowOff>
    </xdr:to>
    <xdr:graphicFrame macro="">
      <xdr:nvGraphicFramePr>
        <xdr:cNvPr id="37" name="Chart 36">
          <a:extLst>
            <a:ext uri="{FF2B5EF4-FFF2-40B4-BE49-F238E27FC236}">
              <a16:creationId xmlns:a16="http://schemas.microsoft.com/office/drawing/2014/main" id="{FEBFCBB8-C607-466C-A8A4-2CE2F21E9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476250</xdr:colOff>
      <xdr:row>11</xdr:row>
      <xdr:rowOff>80211</xdr:rowOff>
    </xdr:from>
    <xdr:to>
      <xdr:col>19</xdr:col>
      <xdr:colOff>385011</xdr:colOff>
      <xdr:row>24</xdr:row>
      <xdr:rowOff>97117</xdr:rowOff>
    </xdr:to>
    <xdr:graphicFrame macro="">
      <xdr:nvGraphicFramePr>
        <xdr:cNvPr id="38" name="Chart 37">
          <a:extLst>
            <a:ext uri="{FF2B5EF4-FFF2-40B4-BE49-F238E27FC236}">
              <a16:creationId xmlns:a16="http://schemas.microsoft.com/office/drawing/2014/main" id="{D6A3106A-B192-4CDA-AC66-1A892D16EA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6</xdr:col>
      <xdr:colOff>301625</xdr:colOff>
      <xdr:row>0</xdr:row>
      <xdr:rowOff>79929</xdr:rowOff>
    </xdr:from>
    <xdr:to>
      <xdr:col>10</xdr:col>
      <xdr:colOff>309016</xdr:colOff>
      <xdr:row>3</xdr:row>
      <xdr:rowOff>57069</xdr:rowOff>
    </xdr:to>
    <mc:AlternateContent xmlns:mc="http://schemas.openxmlformats.org/markup-compatibility/2006" xmlns:a14="http://schemas.microsoft.com/office/drawing/2010/main">
      <mc:Choice Requires="a14">
        <xdr:graphicFrame macro="">
          <xdr:nvGraphicFramePr>
            <xdr:cNvPr id="39" name="Date (Year) 1">
              <a:extLst>
                <a:ext uri="{FF2B5EF4-FFF2-40B4-BE49-F238E27FC236}">
                  <a16:creationId xmlns:a16="http://schemas.microsoft.com/office/drawing/2014/main" id="{45A60891-86CD-4388-BD26-286D1E941595}"/>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979748" y="79929"/>
              <a:ext cx="2409055" cy="536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251460</xdr:colOff>
      <xdr:row>0</xdr:row>
      <xdr:rowOff>76200</xdr:rowOff>
    </xdr:from>
    <xdr:to>
      <xdr:col>1</xdr:col>
      <xdr:colOff>411480</xdr:colOff>
      <xdr:row>3</xdr:row>
      <xdr:rowOff>0</xdr:rowOff>
    </xdr:to>
    <xdr:pic>
      <xdr:nvPicPr>
        <xdr:cNvPr id="41" name="Graphic 40" descr="Inpatient with solid fill">
          <a:extLst>
            <a:ext uri="{FF2B5EF4-FFF2-40B4-BE49-F238E27FC236}">
              <a16:creationId xmlns:a16="http://schemas.microsoft.com/office/drawing/2014/main" id="{C66FC8F4-7CFC-F325-5159-A4265BE3D0D2}"/>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51460" y="76200"/>
          <a:ext cx="769620" cy="477253"/>
        </a:xfrm>
        <a:prstGeom prst="rect">
          <a:avLst/>
        </a:prstGeom>
      </xdr:spPr>
    </xdr:pic>
    <xdr:clientData/>
  </xdr:twoCellAnchor>
  <xdr:twoCellAnchor>
    <xdr:from>
      <xdr:col>1</xdr:col>
      <xdr:colOff>545432</xdr:colOff>
      <xdr:row>7</xdr:row>
      <xdr:rowOff>128336</xdr:rowOff>
    </xdr:from>
    <xdr:to>
      <xdr:col>4</xdr:col>
      <xdr:colOff>232612</xdr:colOff>
      <xdr:row>10</xdr:row>
      <xdr:rowOff>152400</xdr:rowOff>
    </xdr:to>
    <xdr:graphicFrame macro="">
      <xdr:nvGraphicFramePr>
        <xdr:cNvPr id="25" name="Chart 24">
          <a:hlinkClick xmlns:r="http://schemas.openxmlformats.org/officeDocument/2006/relationships" r:id="rId18"/>
          <a:extLst>
            <a:ext uri="{FF2B5EF4-FFF2-40B4-BE49-F238E27FC236}">
              <a16:creationId xmlns:a16="http://schemas.microsoft.com/office/drawing/2014/main" id="{1D5609CD-37BA-4DF9-9C00-FED007367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571500</xdr:colOff>
      <xdr:row>1</xdr:row>
      <xdr:rowOff>83820</xdr:rowOff>
    </xdr:from>
    <xdr:to>
      <xdr:col>2</xdr:col>
      <xdr:colOff>260668</xdr:colOff>
      <xdr:row>22</xdr:row>
      <xdr:rowOff>31432</xdr:rowOff>
    </xdr:to>
    <xdr:sp macro="" textlink="">
      <xdr:nvSpPr>
        <xdr:cNvPr id="2" name="Rectangle 1">
          <a:extLst>
            <a:ext uri="{FF2B5EF4-FFF2-40B4-BE49-F238E27FC236}">
              <a16:creationId xmlns:a16="http://schemas.microsoft.com/office/drawing/2014/main" id="{677440F8-89DB-4D8E-8C84-B75C9A8233D3}"/>
            </a:ext>
          </a:extLst>
        </xdr:cNvPr>
        <xdr:cNvSpPr/>
      </xdr:nvSpPr>
      <xdr:spPr>
        <a:xfrm>
          <a:off x="571500" y="266700"/>
          <a:ext cx="908368" cy="3788092"/>
        </a:xfrm>
        <a:prstGeom prst="rect">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600">
            <a:ln>
              <a:noFill/>
            </a:ln>
            <a:solidFill>
              <a:schemeClr val="tx1">
                <a:lumMod val="95000"/>
                <a:lumOff val="5000"/>
              </a:schemeClr>
            </a:solidFill>
          </a:endParaRPr>
        </a:p>
      </xdr:txBody>
    </xdr:sp>
    <xdr:clientData/>
  </xdr:twoCellAnchor>
  <xdr:twoCellAnchor>
    <xdr:from>
      <xdr:col>0</xdr:col>
      <xdr:colOff>114300</xdr:colOff>
      <xdr:row>1</xdr:row>
      <xdr:rowOff>0</xdr:rowOff>
    </xdr:from>
    <xdr:to>
      <xdr:col>22</xdr:col>
      <xdr:colOff>601980</xdr:colOff>
      <xdr:row>23</xdr:row>
      <xdr:rowOff>15240</xdr:rowOff>
    </xdr:to>
    <xdr:graphicFrame macro="">
      <xdr:nvGraphicFramePr>
        <xdr:cNvPr id="4" name="Chart 3">
          <a:extLst>
            <a:ext uri="{FF2B5EF4-FFF2-40B4-BE49-F238E27FC236}">
              <a16:creationId xmlns:a16="http://schemas.microsoft.com/office/drawing/2014/main" id="{1EDF94CF-310C-4F6E-A68B-BFF1C1A0D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160020</xdr:colOff>
      <xdr:row>1</xdr:row>
      <xdr:rowOff>7620</xdr:rowOff>
    </xdr:from>
    <xdr:to>
      <xdr:col>23</xdr:col>
      <xdr:colOff>7620</xdr:colOff>
      <xdr:row>23</xdr:row>
      <xdr:rowOff>0</xdr:rowOff>
    </xdr:to>
    <xdr:graphicFrame macro="">
      <xdr:nvGraphicFramePr>
        <xdr:cNvPr id="2" name="Chart 1">
          <a:extLst>
            <a:ext uri="{FF2B5EF4-FFF2-40B4-BE49-F238E27FC236}">
              <a16:creationId xmlns:a16="http://schemas.microsoft.com/office/drawing/2014/main" id="{584D208B-AC4B-45F3-8B5E-CBB154711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152400</xdr:colOff>
      <xdr:row>0</xdr:row>
      <xdr:rowOff>167640</xdr:rowOff>
    </xdr:from>
    <xdr:to>
      <xdr:col>23</xdr:col>
      <xdr:colOff>7620</xdr:colOff>
      <xdr:row>23</xdr:row>
      <xdr:rowOff>22860</xdr:rowOff>
    </xdr:to>
    <xdr:graphicFrame macro="">
      <xdr:nvGraphicFramePr>
        <xdr:cNvPr id="2" name="Chart 1">
          <a:extLst>
            <a:ext uri="{FF2B5EF4-FFF2-40B4-BE49-F238E27FC236}">
              <a16:creationId xmlns:a16="http://schemas.microsoft.com/office/drawing/2014/main" id="{8DF11F6C-0768-424D-9E84-8B9416A4E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9.807718981479" createdVersion="8" refreshedVersion="8" minRefreshableVersion="3" recordCount="0" supportSubquery="1" supportAdvancedDrill="1" xr:uid="{593D8A48-D708-444A-BE64-A668B19A360B}">
  <cacheSource type="external" connectionId="3"/>
  <cacheFields count="3">
    <cacheField name="[Measures].[Count of Patient Id]" caption="Count of Patient Id" numFmtId="0" hierarchy="23" level="32767"/>
    <cacheField name="[Calenda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9.807721874997" createdVersion="5" refreshedVersion="8" minRefreshableVersion="3" recordCount="0" supportSubquery="1" supportAdvancedDrill="1" xr:uid="{062E648E-EA29-4D7E-A1D4-CD33ED0C05B2}">
  <cacheSource type="external" connectionId="3"/>
  <cacheFields count="2">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9.807722800928" createdVersion="5" refreshedVersion="8" minRefreshableVersion="3" recordCount="0" supportSubquery="1" supportAdvancedDrill="1" xr:uid="{503BD066-E53C-4A24-B14B-CFE4F9AA73B1}">
  <cacheSource type="external" connectionId="3"/>
  <cacheFields count="2">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9.807723958336" createdVersion="5" refreshedVersion="8" minRefreshableVersion="3" recordCount="0" supportSubquery="1" supportAdvancedDrill="1" xr:uid="{D293A4E7-DD4E-483F-B474-49468569979F}">
  <cacheSource type="external" connectionId="3"/>
  <cacheFields count="2">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9.807725810184" createdVersion="8" refreshedVersion="8" minRefreshableVersion="3" recordCount="0" supportSubquery="1" supportAdvancedDrill="1" xr:uid="{DCA4549E-82BE-467B-B38D-DE5F252A166B}">
  <cacheSource type="external" connectionId="3"/>
  <cacheFields count="3">
    <cacheField name="[Calendar_Table].[Date (Day)].[Date (Day)]" caption="Date (Day)" numFmtId="0" hierarchy="2" level="1">
      <sharedItems count="32">
        <s v="1-Mar"/>
        <s v="2-Mar"/>
        <s v="3-Mar"/>
        <s v="4-Mar"/>
        <s v="5-Mar"/>
        <s v="6-Mar"/>
        <s v="7-Mar"/>
        <s v="8-Mar"/>
        <s v="9-Mar"/>
        <s v="10-Mar"/>
        <s v="11-Mar"/>
        <s v="12-Mar"/>
        <s v="13-Mar"/>
        <s v="14-Mar"/>
        <s v="15-Mar"/>
        <s v="16-Mar"/>
        <s v="17-Mar"/>
        <s v="18-Mar"/>
        <s v="19-Mar"/>
        <s v="20-Mar"/>
        <s v="21-Mar"/>
        <s v="22-Mar"/>
        <s v="23-Mar"/>
        <s v="24-Mar"/>
        <s v="25-Mar"/>
        <s v="26-Mar"/>
        <s v="27-Mar"/>
        <s v="28-Mar"/>
        <s v="29-Mar"/>
        <s v="30-Mar"/>
        <s v="31-Mar"/>
        <s v="1-Jan" u="1"/>
      </sharedItems>
    </cacheField>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9.807748495368" createdVersion="8" refreshedVersion="8" minRefreshableVersion="3" recordCount="0" supportSubquery="1" supportAdvancedDrill="1" xr:uid="{9B52C6D6-2E7A-48CE-9C33-51ADC1B4A3FF}">
  <cacheSource type="external" connectionId="3"/>
  <cacheFields count="3">
    <cacheField name="[Calendar_Table].[Date (Day)].[Date (Day)]" caption="Date (Day)" numFmtId="0" hierarchy="2" level="1">
      <sharedItems count="32">
        <s v="1-Mar"/>
        <s v="2-Mar"/>
        <s v="3-Mar"/>
        <s v="4-Mar"/>
        <s v="5-Mar"/>
        <s v="6-Mar"/>
        <s v="7-Mar"/>
        <s v="8-Mar"/>
        <s v="9-Mar"/>
        <s v="10-Mar"/>
        <s v="11-Mar"/>
        <s v="12-Mar"/>
        <s v="13-Mar"/>
        <s v="14-Mar"/>
        <s v="15-Mar"/>
        <s v="16-Mar"/>
        <s v="17-Mar"/>
        <s v="18-Mar"/>
        <s v="19-Mar"/>
        <s v="20-Mar"/>
        <s v="21-Mar"/>
        <s v="22-Mar"/>
        <s v="23-Mar"/>
        <s v="24-Mar"/>
        <s v="25-Mar"/>
        <s v="26-Mar"/>
        <s v="27-Mar"/>
        <s v="28-Mar"/>
        <s v="29-Mar"/>
        <s v="30-Mar"/>
        <s v="31-Mar"/>
        <s v="1-Jan" u="1"/>
      </sharedItems>
    </cacheField>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9.807761921293" createdVersion="8" refreshedVersion="8" minRefreshableVersion="3" recordCount="0" supportSubquery="1" supportAdvancedDrill="1" xr:uid="{497A855E-CDBB-4561-A8D4-848B0285EE40}">
  <cacheSource type="external" connectionId="3"/>
  <cacheFields count="4">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Month)].[Date (Month)]" caption="Date (Month)" numFmtId="0" hierarchy="1"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9.807763310186" createdVersion="8" refreshedVersion="8" minRefreshableVersion="3" recordCount="0" supportSubquery="1" supportAdvancedDrill="1" xr:uid="{008F7B10-BB63-4AC8-A817-3D952E4850BF}">
  <cacheSource type="external" connectionId="3"/>
  <cacheFields count="4">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Month)].[Date (Month)]" caption="Date (Month)" numFmtId="0" hierarchy="1"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9.807775694448" createdVersion="8" refreshedVersion="8" minRefreshableVersion="3" recordCount="0" supportSubquery="1" supportAdvancedDrill="1" xr:uid="{FCA22BDD-A265-4FAF-AE0D-784D7CC94C43}">
  <cacheSource type="external" connectionId="3"/>
  <cacheFields count="3">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9.807787731479" createdVersion="8" refreshedVersion="8" minRefreshableVersion="3" recordCount="0" supportSubquery="1" supportAdvancedDrill="1" xr:uid="{B17EF976-5AA8-4239-A79C-26DFDF9E83F2}">
  <cacheSource type="external" connectionId="3"/>
  <cacheFields count="1">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9.807790856481" createdVersion="8" refreshedVersion="8" minRefreshableVersion="3" recordCount="0" supportSubquery="1" supportAdvancedDrill="1" xr:uid="{9EB0E14C-6BFA-4096-807B-D366F1F8B198}">
  <cacheSource type="external" connectionId="3"/>
  <cacheFields count="3">
    <cacheField name="[Hospital Emergency Room Data].[Patient attend status].[Patient attend status]" caption="Patient attend status" numFmtId="0" hierarchy="17" level="1">
      <sharedItems count="2">
        <s v="Delay"/>
        <s v="On Time"/>
      </sharedItems>
    </cacheField>
    <cacheField name="[Measures].[Count of Patient Id]" caption="Count of Patient Id" numFmtId="0" hierarchy="23"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9.807802777781" createdVersion="8" refreshedVersion="8" minRefreshableVersion="3" recordCount="0" supportSubquery="1" supportAdvancedDrill="1" xr:uid="{E7FB951C-D77A-4CFD-8A7B-2281E2B57F2F}">
  <cacheSource type="external" connectionId="3"/>
  <cacheFields count="3">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9.807816319444" createdVersion="8" refreshedVersion="8" minRefreshableVersion="3" recordCount="0" supportSubquery="1" supportAdvancedDrill="1" xr:uid="{BCD08B60-3B31-4CF7-8CB6-8DFF75B7BDB4}">
  <cacheSource type="external" connectionId="3"/>
  <cacheFields count="3">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Patient Id]" caption="Count of Patient Id" numFmtId="0" hierarchy="23"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9.807829398145" createdVersion="8" refreshedVersion="8" minRefreshableVersion="3" recordCount="0" supportSubquery="1" supportAdvancedDrill="1" xr:uid="{B1C128EB-E7ED-4CB5-9476-209746927C8C}">
  <cacheSource type="external" connectionId="3"/>
  <cacheFields count="4">
    <cacheField name="[Calendar_Table].[Date].[Date]" caption="Date" numFmtId="0" level="1">
      <sharedItems containsSemiMixedTypes="0" containsNonDate="0" containsDate="1" containsString="0" minDate="2023-03-01T00:00:00" maxDate="2024-04-01T00:00:00" count="62">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Calendar_Table].[Date (Month)].[Date (Month)]" caption="Date (Month)" numFmtId="0" hierarchy="1" level="1">
      <sharedItems count="1">
        <s v="Mar"/>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2">
        <s v="2023"/>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2"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9.807842592592" createdVersion="8" refreshedVersion="8" minRefreshableVersion="3" recordCount="0" supportSubquery="1" supportAdvancedDrill="1" xr:uid="{F86EA3C3-24DE-4605-9299-377FB3EDAB6F}">
  <cacheSource type="external" connectionId="3"/>
  <cacheFields count="3">
    <cacheField name="[Calendar_Table].[Date].[Date]" caption="Date" numFmtId="0" level="1">
      <sharedItems containsSemiMixedTypes="0" containsNonDate="0" containsDate="1" containsString="0" minDate="2024-03-01T00:00:00" maxDate="2024-04-01T00:00:00" count="3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Measures].[Count of Patient Id]" caption="Count of Patient Id" numFmtId="0" hierarchy="23" level="32767"/>
    <cacheField name="[Calendar_Table].[Date (Month)].[Date (Month)]" caption="Date (Month)"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0"/>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6.785798263889" createdVersion="3" refreshedVersion="8" minRefreshableVersion="3" recordCount="0" supportSubquery="1" supportAdvancedDrill="1" xr:uid="{65206799-C8E7-427D-A05E-B95C674C9178}">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61154104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42858-9B19-41BF-9BC3-3963E11D43BE}" name="PivotTable12" cacheId="5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E44:F4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2F5EBB-59F8-4F4E-A0B6-8DE6ACD3AEC9}" name="PivotTable3" cacheId="27" applyNumberFormats="0" applyBorderFormats="0" applyFontFormats="0" applyPatternFormats="0" applyAlignmentFormats="0" applyWidthHeightFormats="1" dataCaption="Values" tag="fbd676a0-4d9b-4ca7-ac51-aaafc0199e48" updatedVersion="8" minRefreshableVersion="3" subtotalHiddenItems="1" itemPrintTitles="1" createdVersion="5" indent="0" outline="1" outlineData="1" multipleFieldFilters="0">
  <location ref="A18:A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6">
      <pivotArea outline="0" collapsedLevelsAreSubtotals="1" fieldPosition="0"/>
    </format>
  </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D4AC7C-8B3E-4DA3-99E1-DC15BB791023}" name="PivotTable13" cacheId="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C58:D67"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7"/>
    </i>
    <i>
      <x v="3"/>
    </i>
    <i>
      <x v="1"/>
    </i>
    <i>
      <x v="6"/>
    </i>
    <i>
      <x/>
    </i>
    <i>
      <x v="5"/>
    </i>
    <i>
      <x v="2"/>
    </i>
    <i>
      <x v="4"/>
    </i>
    <i t="grand">
      <x/>
    </i>
  </rowItems>
  <colItems count="1">
    <i/>
  </colItems>
  <dataFields count="1">
    <dataField name="Count of Patient Id" fld="1" subtotal="count"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CB5368-0D2F-4D52-8FB1-E4BEA5082155}" name="PivotTable4" cacheId="18" applyNumberFormats="0" applyBorderFormats="0" applyFontFormats="0" applyPatternFormats="0" applyAlignmentFormats="0" applyWidthHeightFormats="1" dataCaption="Values" updatedVersion="8" minRefreshableVersion="3" subtotalHiddenItems="1" itemPrintTitles="1" createdVersion="8" indent="0" showHeaders="0" outline="1" outlineData="1" multipleFieldFilters="0" chartFormat="5">
  <location ref="D5:E37"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chartFormats count="1">
    <chartFormat chart="0" format="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52D51F-435A-433A-A9C8-12BB99749EC3}" name="PivotTable7" cacheId="30" applyNumberFormats="0" applyBorderFormats="0" applyFontFormats="0" applyPatternFormats="0" applyAlignmentFormats="0" applyWidthHeightFormats="1" dataCaption="Values" updatedVersion="8" minRefreshableVersion="3" useAutoFormatting="1" subtotalHiddenItems="1" itemPrintTitles="1" createdVersion="8" indent="0" showHeaders="0" outline="1" outlineData="1" multipleFieldFilters="0" chartFormat="28">
  <location ref="L6:M38" firstHeaderRow="1" firstDataRow="1" firstDataCol="1"/>
  <pivotFields count="3">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1" subtotal="average" baseField="0" baseItem="0" numFmtId="2"/>
  </dataFields>
  <formats count="2">
    <format dxfId="8">
      <pivotArea collapsedLevelsAreSubtotals="1" fieldPosition="0">
        <references count="1">
          <reference field="0" count="1">
            <x v="31"/>
          </reference>
        </references>
      </pivotArea>
    </format>
    <format dxfId="7">
      <pivotArea outline="0" fieldPosition="0">
        <references count="1">
          <reference field="4294967294" count="1">
            <x v="0"/>
          </reference>
        </references>
      </pivotArea>
    </format>
  </formats>
  <chartFormats count="5">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143FEB-149B-4976-8986-E6CB4823A841}" name="PivotTable9" cacheId="3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R14:T17"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0" subtotal="count" baseField="1" baseItem="0"/>
    <dataField name="Count of Patient Admission Flag2" fld="3" subtotal="count" showDataAs="percentOfTotal" baseField="0" baseItem="0" numFmtId="10">
      <extLst>
        <ext xmlns:x14="http://schemas.microsoft.com/office/spreadsheetml/2009/9/main" uri="{E15A36E0-9728-4e99-A89B-3F7291B0FE68}">
          <x14:dataField sourceField="0" uniqueName="[__Xl2].[Measures].[Count of Patient Admission Flag]"/>
        </ext>
      </extLst>
    </dataField>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ar_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BD8B74-7E77-4399-959A-3B0748A25253}" name="PivotTable5" cacheId="3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9">
  <location ref="S28:U31" firstHeaderRow="0" firstDataRow="1" firstDataCol="1"/>
  <pivotFields count="4">
    <pivotField dataField="1" subtotalTop="0" showAll="0" defaultSubtotal="0"/>
    <pivotField axis="axisRow" allDrilled="1" subtotalTop="0" showAll="0"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0"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0" uniqueName="[__Xl2].[Measures].[Count of Patient Admission Flag]"/>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E85D10-17FC-4114-B8E6-5D9ADC2658E1}" name="PivotTable8" cacheId="33" applyNumberFormats="0" applyBorderFormats="0" applyFontFormats="0" applyPatternFormats="0" applyAlignmentFormats="0" applyWidthHeightFormats="1" dataCaption="Values" updatedVersion="8" minRefreshableVersion="3" useAutoFormatting="1" subtotalHiddenItems="1" itemPrintTitles="1" createdVersion="8" indent="0" showHeaders="0" outline="1" outlineData="1" multipleFieldFilters="0" chartFormat="23">
  <location ref="O6:P38" firstHeaderRow="1" firstDataRow="1" firstDataCol="1"/>
  <pivotFields count="3">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1" subtotal="average" baseField="0" baseItem="6" numFmtId="2"/>
  </dataFields>
  <formats count="2">
    <format dxfId="10">
      <pivotArea collapsedLevelsAreSubtotals="1" fieldPosition="0">
        <references count="1">
          <reference field="0" count="1">
            <x v="31"/>
          </reference>
        </references>
      </pivotArea>
    </format>
    <format dxfId="9">
      <pivotArea outline="0" fieldPosition="0">
        <references count="1">
          <reference field="4294967294" count="1">
            <x v="0"/>
          </reference>
        </references>
      </pivotArea>
    </format>
  </formats>
  <chartFormats count="6">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438540-FDBE-454D-AFF5-64FC84B77910}" name="PivotTable6" cacheId="4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S38" firstHeaderRow="0" firstDataRow="0" firstDataCol="0"/>
  <pivotFields count="1">
    <pivotField allDrilled="1" subtotalTop="0" showAll="0" dataSourceSort="1" defaultSubtotal="0" defaultAttributeDrillState="1"/>
  </pivotField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5ADCD0-E649-4E56-9ABB-E365DFDC9143}" name="PivotTable14" cacheId="5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71:C140" firstHeaderRow="1" firstDataRow="1" firstDataCol="1"/>
  <pivotFields count="4">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2">
        <item x="0"/>
        <item x="1"/>
      </items>
    </pivotField>
  </pivotFields>
  <rowFields count="4">
    <field x="3"/>
    <field x="2"/>
    <field x="1"/>
    <field x="0"/>
  </rowFields>
  <rowItems count="69">
    <i>
      <x/>
    </i>
    <i r="1">
      <x/>
    </i>
    <i r="2">
      <x/>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3">
      <x v="30"/>
    </i>
    <i>
      <x v="1"/>
    </i>
    <i r="1">
      <x/>
    </i>
    <i r="2">
      <x/>
    </i>
    <i r="3">
      <x v="31"/>
    </i>
    <i r="3">
      <x v="32"/>
    </i>
    <i r="3">
      <x v="33"/>
    </i>
    <i r="3">
      <x v="34"/>
    </i>
    <i r="3">
      <x v="35"/>
    </i>
    <i r="3">
      <x v="36"/>
    </i>
    <i r="3">
      <x v="37"/>
    </i>
    <i r="3">
      <x v="38"/>
    </i>
    <i r="3">
      <x v="39"/>
    </i>
    <i r="3">
      <x v="40"/>
    </i>
    <i r="3">
      <x v="41"/>
    </i>
    <i r="3">
      <x v="42"/>
    </i>
    <i r="3">
      <x v="43"/>
    </i>
    <i r="3">
      <x v="44"/>
    </i>
    <i r="3">
      <x v="45"/>
    </i>
    <i r="3">
      <x v="46"/>
    </i>
    <i r="3">
      <x v="47"/>
    </i>
    <i r="3">
      <x v="48"/>
    </i>
    <i r="3">
      <x v="49"/>
    </i>
    <i r="3">
      <x v="50"/>
    </i>
    <i r="3">
      <x v="51"/>
    </i>
    <i r="3">
      <x v="52"/>
    </i>
    <i r="3">
      <x v="53"/>
    </i>
    <i r="3">
      <x v="54"/>
    </i>
    <i r="3">
      <x v="55"/>
    </i>
    <i r="3">
      <x v="56"/>
    </i>
    <i r="3">
      <x v="57"/>
    </i>
    <i r="3">
      <x v="58"/>
    </i>
    <i r="3">
      <x v="59"/>
    </i>
    <i r="3">
      <x v="60"/>
    </i>
    <i r="3">
      <x v="61"/>
    </i>
    <i t="grand">
      <x/>
    </i>
  </rowItem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291C4B-BDFB-45D1-9781-41C216CCEF20}" name="PivotTable2" cacheId="24" applyNumberFormats="0" applyBorderFormats="0" applyFontFormats="0" applyPatternFormats="0" applyAlignmentFormats="0" applyWidthHeightFormats="1" dataCaption="Values" tag="34827758-80b4-4ccd-8ffd-c2083e03576a" updatedVersion="8" minRefreshableVersion="3" subtotalHiddenItems="1" itemPrintTitles="1" createdVersion="5"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1">
      <pivotArea outline="0" collapsedLevelsAreSubtotals="1" fieldPosition="0"/>
    </format>
  </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F56BC3E-0427-4145-8B7F-840D532B6A8A}" name="PivotTable11" cacheId="4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S108:T11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Id" fld="1"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28951C6-7B1C-4BBD-ABBE-2911CA74A782}" name="PivotTable10" cacheId="4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R87:S96"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 Group"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DEF55B0-4017-4B14-8686-541F3AA8A75E}" name="PivotTable15" cacheId="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F208:G240"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1" subtotal="count"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057FD63-C17A-41F3-B2BC-903960FA9957}" name="PivotTable1" cacheId="21" applyNumberFormats="0" applyBorderFormats="0" applyFontFormats="0" applyPatternFormats="0" applyAlignmentFormats="0" applyWidthHeightFormats="1" dataCaption="Values" tag="d1e9324a-0d6a-4107-86ed-e1c67cb68867" updatedVersion="8" minRefreshableVersion="3" subtotalHiddenItems="1" itemPrintTitles="1" createdVersion="5"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2153FB3-34AC-4A24-8945-20D85C746F0D}" sourceName="[Calendar_Table].[Date (Month)]">
  <pivotTables>
    <pivotTable tabId="1" name="PivotTable4"/>
    <pivotTable tabId="1" name="PivotTable1"/>
    <pivotTable tabId="1" name="PivotTable2"/>
    <pivotTable tabId="1" name="PivotTable3"/>
    <pivotTable tabId="1" name="PivotTable7"/>
    <pivotTable tabId="1" name="PivotTable8"/>
    <pivotTable tabId="1" name="PivotTable5"/>
    <pivotTable tabId="1" name="PivotTable9"/>
    <pivotTable tabId="1" name="PivotTable10"/>
    <pivotTable tabId="1" name="PivotTable6"/>
    <pivotTable tabId="1" name="PivotTable11"/>
    <pivotTable tabId="1" name="PivotTable12"/>
    <pivotTable tabId="1" name="PivotTable13"/>
    <pivotTable tabId="1" name="PivotTable14"/>
    <pivotTable tabId="1" name="PivotTable15"/>
  </pivotTables>
  <data>
    <olap pivotCacheId="611541047">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1616A39-4A2A-4B67-9FEE-12915A84B987}" sourceName="[Calendar_Table].[Date (Year)]">
  <pivotTables>
    <pivotTable tabId="1" name="PivotTable14"/>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611541047">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F117058C-1C4D-408E-A61F-60160522493B}" cache="Slicer_Date__Month" caption="Date (Month)" level="1" rowHeight="247650"/>
  <slicer name="Date (Year)" xr10:uid="{5092A404-D176-45D8-BB0C-5FE513EC4F7F}" cache="Slicer_Date__Year" caption="Date (Year)"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106FA048-46AB-48B2-8F72-46F83E4AC573}" cache="Slicer_Date__Month" caption="Date (Month)" showCaption="0" level="1" style="SlicerStyleDark4" rowHeight="247650"/>
  <slicer name="Date (Year) 1" xr10:uid="{FD5106AC-2CA7-42B6-8055-C70EC6856E74}" cache="Slicer_Date__Year" caption="Date (Year)" columnCount="2" showCaption="0" level="1" style="SlicerStyleDark4"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0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BF3943-8739-482A-80EE-1157A5725597}">
  <we:reference id="0986d9dd-94f1-4b67-978d-c4cf6e6142a8" version="25.2.0.0" store="EXCatalog" storeType="EXCatalog"/>
  <we:alternateReferences>
    <we:reference id="WA200000018" version="25.2.0.0"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PSINORMAL</we:customFunctionIds>
        <we:customFunctionIds>PSIBERNOULLI</we:customFunctionIds>
        <we:customFunctionIds>PSIBETA</we:customFunctionIds>
        <we:customFunctionIds>PSIBETAGEN</we:customFunctionIds>
        <we:customFunctionIds>PSIBETASUBJ</we:customFunctionIds>
        <we:customFunctionIds>PSIBINOMIAL</we:customFunctionIds>
        <we:customFunctionIds>PSICAUCHY</we:customFunctionIds>
        <we:customFunctionIds>PSICHISQUARE</we:customFunctionIds>
        <we:customFunctionIds>PSICUMUL</we:customFunctionIds>
        <we:customFunctionIds>PSICUMULD</we:customFunctionIds>
        <we:customFunctionIds>PSIDISCRETE</we:customFunctionIds>
        <we:customFunctionIds>PSIDISUNIFORM</we:customFunctionIds>
        <we:customFunctionIds>PSIERF</we:customFunctionIds>
        <we:customFunctionIds>PSIERLANG</we:customFunctionIds>
        <we:customFunctionIds>PSIEXPONENTIAL</we:customFunctionIds>
        <we:customFunctionIds>PSIGAMMA</we:customFunctionIds>
        <we:customFunctionIds>PSIGENERAL</we:customFunctionIds>
        <we:customFunctionIds>PSIGEOMETRIC</we:customFunctionIds>
        <we:customFunctionIds>PSIHISTOGRAM</we:customFunctionIds>
        <we:customFunctionIds>PSIHYPERGEO</we:customFunctionIds>
        <we:customFunctionIds>PSIINTUNIFORM</we:customFunctionIds>
        <we:customFunctionIds>PSIINVNORMAL</we:customFunctionIds>
        <we:customFunctionIds>PSILAPLACE</we:customFunctionIds>
        <we:customFunctionIds>PSILOGARITHMIC</we:customFunctionIds>
        <we:customFunctionIds>PSILOGISTIC</we:customFunctionIds>
        <we:customFunctionIds>PSILOGLOGISTIC</we:customFunctionIds>
        <we:customFunctionIds>PSILOGNORMAL</we:customFunctionIds>
        <we:customFunctionIds>PSILOGNORM2</we:customFunctionIds>
        <we:customFunctionIds>PSIMAXEXTREME</we:customFunctionIds>
        <we:customFunctionIds>PSIMINEXTREME</we:customFunctionIds>
        <we:customFunctionIds>PSIMYERSON</we:customFunctionIds>
        <we:customFunctionIds>PSINEGBINOMIAL</we:customFunctionIds>
        <we:customFunctionIds>PSINORMALSKEW</we:customFunctionIds>
        <we:customFunctionIds>PSIPARETO</we:customFunctionIds>
        <we:customFunctionIds>PSIPARETO2</we:customFunctionIds>
        <we:customFunctionIds>PSIPEARSON5</we:customFunctionIds>
        <we:customFunctionIds>PSIPEARSON6</we:customFunctionIds>
        <we:customFunctionIds>PSIPERT</we:customFunctionIds>
        <we:customFunctionIds>PSIPOISSON</we:customFunctionIds>
        <we:customFunctionIds>PSIRAYLEIGH</we:customFunctionIds>
        <we:customFunctionIds>PSISTUDENT</we:customFunctionIds>
        <we:customFunctionIds>PSITRIANGULAR</we:customFunctionIds>
        <we:customFunctionIds>PSITRIANGGEN</we:customFunctionIds>
        <we:customFunctionIds>PSIUNIFORM</we:customFunctionIds>
        <we:customFunctionIds>PSIWEIBULL</we:customFunctionIds>
        <we:customFunctionIds>PSIBURR12</we:customFunctionIds>
        <we:customFunctionIds>PSIDAGUM</we:customFunctionIds>
        <we:customFunctionIds>PSIDBLTRIANG</we:customFunctionIds>
        <we:customFunctionIds>PSIFDIST</we:customFunctionIds>
        <we:customFunctionIds>PSIFATIGUELIFE</we:customFunctionIds>
        <we:customFunctionIds>PSIFRECHET</we:customFunctionIds>
        <we:customFunctionIds>PSIHYPSECANT</we:customFunctionIds>
        <we:customFunctionIds>PSIJOHNSONSB</we:customFunctionIds>
        <we:customFunctionIds>PSIJOHNSONSU</we:customFunctionIds>
        <we:customFunctionIds>PSIKUMARASWAMY</we:customFunctionIds>
        <we:customFunctionIds>PSILEVY</we:customFunctionIds>
        <we:customFunctionIds>PSIRECIPROCAL</we:customFunctionIds>
        <we:customFunctionIds>PSIVARY</we:customFunctionIds>
        <we:customFunctionIds>PSIMVLOGNORMAL</we:customFunctionIds>
        <we:customFunctionIds>PSIMVNORMAL</we:customFunctionIds>
        <we:customFunctionIds>PSIMVRESAMPLE</we:customFunctionIds>
        <we:customFunctionIds>PSIMVSHUFFLE</we:customFunctionIds>
        <we:customFunctionIds>PSIMEAN</we:customFunctionIds>
        <we:customFunctionIds>PSITHEOMEAN</we:customFunctionIds>
        <we:customFunctionIds>PSILOCK</we:customFunctionIds>
        <we:customFunctionIds>PSINAME</we:customFunctionIds>
        <we:customFunctionIds>PSISHIFT</we:customFunctionIds>
        <we:customFunctionIds>PSISAMPLE</we:customFunctionIds>
        <we:customFunctionIds>PSITRUNCATE</we:customFunctionIds>
        <we:customFunctionIds>PSISEED</we:customFunctionIds>
        <we:customFunctionIds>PSISIXSIGMA</we:customFunctionIds>
        <we:customFunctionIds>PSITSSYNC</we:customFunctionIds>
        <we:customFunctionIds>PSICONVERGENCE</we:customFunctionIds>
        <we:customFunctionIds>PSIISDATE</we:customFunctionIds>
        <we:customFunctionIds>PSIISDISCRETE</we:customFunctionIds>
        <we:customFunctionIds>PSILIBRARY</we:customFunctionIds>
        <we:customFunctionIds>PSIFITINFO</we:customFunctionIds>
        <we:customFunctionIds>PSIOUTPUT</we:customFunctionIds>
        <we:customFunctionIds>PSIINPUT</we:customFunctionIds>
        <we:customFunctionIds>PSISIMPARAM</we:customFunctionIds>
        <we:customFunctionIds>PSISENPARAM</we:customFunctionIds>
        <we:customFunctionIds>PSIOPTPARAM</we:customFunctionIds>
        <we:customFunctionIds>PSICALCPARAM</we:customFunctionIds>
        <we:customFunctionIds>PSISLURP</we:customFunctionIds>
        <we:customFunctionIds>PSISIP</we:customFunctionIds>
        <we:customFunctionIds>PSITSSIP</we:customFunctionIds>
        <we:customFunctionIds>PSICORRMATRIX</we:customFunctionIds>
        <we:customFunctionIds>PSICORRDEPEN</we:customFunctionIds>
        <we:customFunctionIds>PSICORRINDEP</we:customFunctionIds>
        <we:customFunctionIds>PSIFIT</we:customFunctionIds>
        <we:customFunctionIds>PSIDATA</we:customFunctionIds>
        <we:customFunctionIds>PSIKURTOSIS</we:customFunctionIds>
        <we:customFunctionIds>PSITHEOKURTOSIS</we:customFunctionIds>
        <we:customFunctionIds>PSIMAX</we:customFunctionIds>
        <we:customFunctionIds>PSITHEOMAX</we:customFunctionIds>
        <we:customFunctionIds>PSIMIN</we:customFunctionIds>
        <we:customFunctionIds>PSITHEOMIN</we:customFunctionIds>
        <we:customFunctionIds>PSIMODE</we:customFunctionIds>
        <we:customFunctionIds>PSITHEOMODE</we:customFunctionIds>
        <we:customFunctionIds>PSIPERCENTILE</we:customFunctionIds>
        <we:customFunctionIds>PSITHEOPERCENTILE</we:customFunctionIds>
        <we:customFunctionIds>PSIPTOX</we:customFunctionIds>
        <we:customFunctionIds>PSITHEOPTOX</we:customFunctionIds>
        <we:customFunctionIds>PSIPERCENTILED</we:customFunctionIds>
        <we:customFunctionIds>PSITHEOPERCENTILED</we:customFunctionIds>
        <we:customFunctionIds>PSIQTOX</we:customFunctionIds>
        <we:customFunctionIds>PSITHEOQTOX</we:customFunctionIds>
        <we:customFunctionIds>PSIRANGE</we:customFunctionIds>
        <we:customFunctionIds>PSITHEORANGE</we:customFunctionIds>
        <we:customFunctionIds>PSISKEWNESS</we:customFunctionIds>
        <we:customFunctionIds>PSITHEOSKEWNESS</we:customFunctionIds>
        <we:customFunctionIds>PSISTDDEV</we:customFunctionIds>
        <we:customFunctionIds>PSITHEOSTDDEV</we:customFunctionIds>
        <we:customFunctionIds>PSITARGET</we:customFunctionIds>
        <we:customFunctionIds>PSITHEOTARGET</we:customFunctionIds>
        <we:customFunctionIds>PSIXTOP</we:customFunctionIds>
        <we:customFunctionIds>PSITHEOXTOP</we:customFunctionIds>
        <we:customFunctionIds>PSITARGETD</we:customFunctionIds>
        <we:customFunctionIds>PSITHEOTARGETD</we:customFunctionIds>
        <we:customFunctionIds>PSIXTOQ</we:customFunctionIds>
        <we:customFunctionIds>PSITHEOXTOQ</we:customFunctionIds>
        <we:customFunctionIds>PSITHEOXTOY</we:customFunctionIds>
        <we:customFunctionIds>PSIVARIANCE</we:customFunctionIds>
        <we:customFunctionIds>PSITHEOVARIANCE</we:customFunctionIds>
        <we:customFunctionIds>PSIABSDEV</we:customFunctionIds>
        <we:customFunctionIds>PSICITRIALS</we:customFunctionIds>
        <we:customFunctionIds>PSICORRELATION</we:customFunctionIds>
        <we:customFunctionIds>PSIFREQUENCY</we:customFunctionIds>
        <we:customFunctionIds>PSIMEANCI</we:customFunctionIds>
        <we:customFunctionIds>PSIMEANCIB</we:customFunctionIds>
        <we:customFunctionIds>PSISEMIDEV</we:customFunctionIds>
        <we:customFunctionIds>PSISEMIDEV2</we:customFunctionIds>
        <we:customFunctionIds>PSISEMIVAR</we:customFunctionIds>
        <we:customFunctionIds>PSISEMIVAR2</we:customFunctionIds>
        <we:customFunctionIds>PSISTDDEVCI</we:customFunctionIds>
        <we:customFunctionIds>PSIBVAR</we:customFunctionIds>
        <we:customFunctionIds>PSICVAR</we:customFunctionIds>
        <we:customFunctionIds>PSICURRENTTRIAL</we:customFunctionIds>
        <we:customFunctionIds>PSICURRENTSIM</we:customFunctionIds>
        <we:customFunctionIds>PSICOUNT</we:customFunctionIds>
        <we:customFunctionIds>PSISENVALUE</we:customFunctionIds>
        <we:customFunctionIds>PSICURRENTOPT</we:customFunctionIds>
        <we:customFunctionIds>PSIMEDIAN</we:customFunctionIds>
        <we:customFunctionIds>PSITHEOMEDIAN</we:customFunctionIds>
        <we:customFunctionIds>PSIDIM</we:customFunctionIds>
        <we:customFunctionIds>PSICUBE</we:customFunctionIds>
        <we:customFunctionIds>PSIREDUCE</we:customFunctionIds>
        <we:customFunctionIds>PSIJOIN</we:customFunctionIds>
        <we:customFunctionIds>PSIOPTSTATUS</we:customFunctionIds>
        <we:customFunctionIds>PSIPIVOTCUBE</we:customFunctionIds>
        <we:customFunctionIds>PSICALCVALUE</we:customFunctionIds>
        <we:customFunctionIds>PSIOPTDATA</we:customFunctionIds>
        <we:customFunctionIds>PSIPARAMDIM</we:customFunctionIds>
        <we:customFunctionIds>PSIPIVOTDIM</we:customFunctionIds>
        <we:customFunctionIds>PSICUBEOUTPUT</we:customFunctionIds>
        <we:customFunctionIds>PSIDIMLOCK</we:customFunctionIds>
        <we:customFunctionIds>PSIDIMACTIVE</we:customFunctionIds>
        <we:customFunctionIds>PSICUBEDATA</we:customFunctionIds>
        <we:customFunctionIds>PSISIMOUTPUT</we:customFunctionIds>
        <we:customFunctionIds>PSISIMDATA</we:customFunctionIds>
        <we:customFunctionIds>PSIRESAMPLE</we:customFunctionIds>
        <we:customFunctionIds>PSITABLECUBE</we:customFunctionIds>
        <we:customFunctionIds>PSICOMPOUND</we:customFunctionIds>
        <we:customFunctionIds>PSICOPULA</we:customFunctionIds>
        <we:customFunctionIds>PSICOPULASTUDENT</we:customFunctionIds>
        <we:customFunctionIds>PSICOPULAGAUSS</we:customFunctionIds>
        <we:customFunctionIds>PSIKENDALLTAU</we:customFunctionIds>
        <we:customFunctionIds>PSISPEARMANRHO</we:customFunctionIds>
        <we:customFunctionIds>PSIMETALOG</we:customFunctionIds>
        <we:customFunctionIds>PSIMETALOG2</we:customFunctionIds>
        <we:customFunctionIds>PSIMETALOGSPT</we:customFunctionIds>
        <we:customFunctionIds>PSIMETALOGFIT</we:customFunctionIds>
        <we:customFunctionIds>PSIMETALOG2FIT</we:customFunctionIds>
        <we:customFunctionIds>PSIDATASRC</we:customFunctionIds>
        <we:customFunctionIds>PSIMODELSRC</we:customFunctionIds>
        <we:customFunctionIds>PSISIGMACP</we:customFunctionIds>
        <we:customFunctionIds>PSISIGMACPK</we:customFunctionIds>
        <we:customFunctionIds>PSISIGMACPKLOWER</we:customFunctionIds>
        <we:customFunctionIds>PSISIGMACPKUPPER</we:customFunctionIds>
        <we:customFunctionIds>PSISIGMACPM</we:customFunctionIds>
        <we:customFunctionIds>PSISIGMADEFECTPPM</we:customFunctionIds>
        <we:customFunctionIds>PSISIGMADEFECTSHIFTPPM</we:customFunctionIds>
        <we:customFunctionIds>PSISIGMADEFECTSHIFTPPMLower</we:customFunctionIds>
        <we:customFunctionIds>PSISIGMADEFECTSHIFTPPMUPPER</we:customFunctionIds>
        <we:customFunctionIds>PSISIGMAK</we:customFunctionIds>
        <we:customFunctionIds>PSISIGMALOWERBOUND</we:customFunctionIds>
        <we:customFunctionIds>PSISIGMAPROBDEFECTSHIFT</we:customFunctionIds>
        <we:customFunctionIds>PSISIGMAPROBDEFECTSHIFTLOWER</we:customFunctionIds>
        <we:customFunctionIds>PSISIGMAPROBDEFECTSHIFTUPPER</we:customFunctionIds>
        <we:customFunctionIds>PSISIGMASIGMALEVEL</we:customFunctionIds>
        <we:customFunctionIds>PSISIGMAUPPERBOUND</we:customFunctionIds>
        <we:customFunctionIds>PSISIGMAYIELD</we:customFunctionIds>
        <we:customFunctionIds>PSISIGMAZLOWER</we:customFunctionIds>
        <we:customFunctionIds>PSISIGMAZMIN</we:customFunctionIds>
        <we:customFunctionIds>PSISIGMAZUPPER</we:customFunctionIds>
        <we:customFunctionIds>PSIBETAGENALT</we:customFunctionIds>
        <we:customFunctionIds>PSICAUCHYALT</we:customFunctionIds>
        <we:customFunctionIds>PSICHISQUAREALT</we:customFunctionIds>
        <we:customFunctionIds>PSIERFALT</we:customFunctionIds>
        <we:customFunctionIds>PSIEXPONENTIALALT</we:customFunctionIds>
        <we:customFunctionIds>PSIGAMMAALT</we:customFunctionIds>
        <we:customFunctionIds>PSIINVNORMALALT</we:customFunctionIds>
        <we:customFunctionIds>PSILAPLACEALT</we:customFunctionIds>
        <we:customFunctionIds>PSILOGISTICALT</we:customFunctionIds>
        <we:customFunctionIds>PSILOGLOGISTICALT</we:customFunctionIds>
        <we:customFunctionIds>PSILOGNORMALALT</we:customFunctionIds>
        <we:customFunctionIds>PSIMAXEXTREMEALT</we:customFunctionIds>
        <we:customFunctionIds>PSIMINEXTREMEALT</we:customFunctionIds>
        <we:customFunctionIds>PSINORMALALT</we:customFunctionIds>
        <we:customFunctionIds>PSIUNIFORMALT</we:customFunctionIds>
        <we:customFunctionIds>PSITRIANGULARALT</we:customFunctionIds>
        <we:customFunctionIds>PSIPARETOALT</we:customFunctionIds>
        <we:customFunctionIds>PSIPARETO2ALT</we:customFunctionIds>
        <we:customFunctionIds>PSILEVYALT</we:customFunctionIds>
        <we:customFunctionIds>PSIHYPSECANTALT</we:customFunctionIds>
        <we:customFunctionIds>PSIPEARSON5ALT</we:customFunctionIds>
        <we:customFunctionIds>PSIPEARSON6ALT</we:customFunctionIds>
        <we:customFunctionIds>PSIPERTALT</we:customFunctionIds>
        <we:customFunctionIds>PSIRAYLEIGHALT</we:customFunctionIds>
        <we:customFunctionIds>PSISTUDENTALT</we:customFunctionIds>
        <we:customFunctionIds>PSIWEIBULLALT</we:customFunctionIds>
        <we:customFunctionIds>PSIFATIGUELIFEALT</we:customFunctionIds>
        <we:customFunctionIds>PSIFRECHETALT</we:customFunctionIds>
        <we:customFunctionIds>PSIOPTVALUE</we:customFunctionIds>
        <we:customFunctionIds>PSICOEFFVAR</we:customFunctionIds>
        <we:customFunctionIds>PSISTDERR</we:customFunctionIds>
        <we:customFunctionIds>PSIEXPGAIN</we:customFunctionIds>
        <we:customFunctionIds>PSIEXPGAINRATIO</we:customFunctionIds>
        <we:customFunctionIds>PSIEXPLOSS</we:customFunctionIds>
        <we:customFunctionIds>PSIEXPLOSSRATIO</we:customFunctionIds>
        <we:customFunctionIds>PSIEXPVALMARGIN</we:customFunctionIds>
        <we:customFunctionIds>PSICERTIFIED</we:customFunctionIds>
        <we:customFunctionIds>PSICENSOR</we:customFunctionIds>
        <we:customFunctionIds>PSIBASECASE</we:customFunctionIds>
        <we:customFunctionIds>PSIFORECASTETS</we:customFunctionIds>
        <we:customFunctionIds>PSIFORECASTLINEAR</we:customFunctionIds>
        <we:customFunctionIds>DOTPRODUCT</we:customFunctionIds>
        <we:customFunctionIds>QUADPRODUCT</we:customFunctionIds>
        <we:customFunctionIds>PSIDECTABLE</we:customFunctionIds>
        <we:customFunctionIds>PSIBOXFUNCTION</we:customFunctionIds>
        <we:customFunctionIds>PSIBOXITERATOR</we:customFunctionIds>
        <we:customFunctionIds>PSIINITIALVALUE</we:customFunctionIds>
        <we:customFunctionIds>PSIFINALVALUE</we:customFunctionIds>
        <we:customFunctionIds>PSIDUALVALUE</we:customFunctionIds>
        <we:customFunctionIds>PSISLACKVALUE</we:customFunctionIds>
        <we:customFunctionIds>PSIDUALUPPER</we:customFunctionIds>
        <we:customFunctionIds>PSIDUALLOWER</we:customFunctionIds>
        <we:customFunctionIds>PSITSINTEGRATE</we:customFunctionIds>
        <we:customFunctionIds>PSITRANSFORM</we:customFunctionIds>
        <we:customFunctionIds>PSITSSEASONALITY</we:customFunctionIds>
        <we:customFunctionIds>PSITSLEN</we:customFunctionIds>
        <we:customFunctionIds>PSIAR1</we:customFunctionIds>
        <we:customFunctionIds>PSIAR2</we:customFunctionIds>
        <we:customFunctionIds>PSIMA1</we:customFunctionIds>
        <we:customFunctionIds>PSIMA2</we:customFunctionIds>
        <we:customFunctionIds>PSIARMA11</we:customFunctionIds>
        <we:customFunctionIds>PSIARCH1</we:customFunctionIds>
        <we:customFunctionIds>PSIGARCH11</we:customFunctionIds>
        <we:customFunctionIds>PSIEGARCH11</we:customFunctionIds>
        <we:customFunctionIds>PSIAPARCH11</we:customFunctionIds>
        <we:customFunctionIds>PSITARGETCI</we:customFunctionIds>
        <we:customFunctionIds>PSIPERCENTILECI</we:customFunctionIds>
        <we:customFunctionIds>PSIPERCENTILES</we:customFunctionIds>
        <we:customFunctionIds>PSIMODELDESC</we:customFunctionIds>
        <we:customFunctionIds>PSICORRECTCORMAT</we:customFunctionIds>
        <we:customFunctionIds>PSISTATIC</we:customFunctionIds>
        <we:customFunctionIds>PSIMAKEINPUT</we:customFunctionIds>
        <we:customFunctionIds>PSISIMULATIONINFO</we:customFunctionIds>
        <we:customFunctionIds>PSICONVERGED</we:customFunctionIds>
        <we:customFunctionIds>PSIDISTINFO</we:customFunctionIds>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vmlDrawing" Target="../drawings/vmlDrawing1.v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D6051-5629-4260-BB9A-F384B7DAD02B}">
  <dimension ref="A5:AE240"/>
  <sheetViews>
    <sheetView topLeftCell="A203" zoomScale="72" workbookViewId="0">
      <selection activeCell="G209" sqref="G209"/>
    </sheetView>
  </sheetViews>
  <sheetFormatPr defaultRowHeight="14.4"/>
  <cols>
    <col min="1" max="1" width="23.33203125" bestFit="1" customWidth="1"/>
    <col min="3" max="3" width="15.33203125" bestFit="1" customWidth="1"/>
    <col min="4" max="4" width="16.44140625" bestFit="1" customWidth="1"/>
    <col min="5" max="6" width="13.5546875" bestFit="1" customWidth="1"/>
    <col min="7" max="7" width="16.44140625" bestFit="1" customWidth="1"/>
    <col min="11" max="11" width="24.21875" bestFit="1" customWidth="1"/>
    <col min="12" max="12" width="10.5546875" bestFit="1" customWidth="1"/>
    <col min="13" max="13" width="24.21875" bestFit="1" customWidth="1"/>
    <col min="14" max="14" width="21.44140625" bestFit="1" customWidth="1"/>
    <col min="15" max="15" width="10.5546875" bestFit="1" customWidth="1"/>
    <col min="16" max="16" width="31.77734375" bestFit="1" customWidth="1"/>
    <col min="17" max="17" width="28.88671875" bestFit="1" customWidth="1"/>
    <col min="18" max="19" width="13.5546875" bestFit="1" customWidth="1"/>
    <col min="20" max="20" width="16.44140625" bestFit="1" customWidth="1"/>
    <col min="21" max="21" width="25.77734375" bestFit="1" customWidth="1"/>
    <col min="22" max="22" width="9.21875" customWidth="1"/>
    <col min="23" max="23" width="8.5546875" customWidth="1"/>
    <col min="24" max="24" width="4" bestFit="1" customWidth="1"/>
    <col min="25" max="25" width="7.109375" customWidth="1"/>
    <col min="26" max="28" width="4" bestFit="1" customWidth="1"/>
    <col min="29" max="29" width="4" customWidth="1"/>
    <col min="30" max="30" width="7.21875" customWidth="1"/>
    <col min="31" max="31" width="4" hidden="1" customWidth="1"/>
    <col min="32" max="62" width="4" bestFit="1" customWidth="1"/>
    <col min="63" max="63" width="10.5546875" bestFit="1" customWidth="1"/>
    <col min="64" max="67" width="5.6640625" bestFit="1" customWidth="1"/>
    <col min="68" max="68" width="4.6640625" bestFit="1" customWidth="1"/>
    <col min="69" max="75" width="5.6640625" bestFit="1" customWidth="1"/>
    <col min="76" max="76" width="4.6640625" bestFit="1" customWidth="1"/>
    <col min="77" max="83" width="5.6640625" bestFit="1" customWidth="1"/>
    <col min="84" max="84" width="4.6640625" bestFit="1" customWidth="1"/>
    <col min="85" max="91" width="5.6640625" bestFit="1" customWidth="1"/>
    <col min="92" max="92" width="4.6640625" bestFit="1" customWidth="1"/>
    <col min="93" max="99" width="5.6640625" bestFit="1" customWidth="1"/>
    <col min="100" max="100" width="4.6640625" bestFit="1" customWidth="1"/>
    <col min="101" max="107" width="5.6640625" bestFit="1" customWidth="1"/>
    <col min="108" max="108" width="4.6640625" bestFit="1" customWidth="1"/>
    <col min="109" max="115" width="5.6640625" bestFit="1" customWidth="1"/>
    <col min="116" max="116" width="4.6640625" bestFit="1" customWidth="1"/>
    <col min="117" max="123" width="5.6640625" bestFit="1" customWidth="1"/>
    <col min="124" max="124" width="4.6640625" bestFit="1" customWidth="1"/>
    <col min="125" max="131" width="5.6640625" bestFit="1" customWidth="1"/>
    <col min="132" max="132" width="4.6640625" bestFit="1" customWidth="1"/>
    <col min="133" max="139" width="5.6640625" bestFit="1" customWidth="1"/>
    <col min="140" max="140" width="4.6640625" bestFit="1" customWidth="1"/>
    <col min="141" max="147" width="5.6640625" bestFit="1" customWidth="1"/>
    <col min="148" max="148" width="4.6640625" bestFit="1" customWidth="1"/>
    <col min="149" max="155" width="5.6640625" bestFit="1" customWidth="1"/>
    <col min="156" max="156" width="4.6640625" bestFit="1" customWidth="1"/>
    <col min="157" max="163" width="5.6640625" bestFit="1" customWidth="1"/>
    <col min="164" max="164" width="4.6640625" bestFit="1" customWidth="1"/>
    <col min="165" max="171" width="5.6640625" bestFit="1" customWidth="1"/>
    <col min="172" max="172" width="4.6640625" bestFit="1" customWidth="1"/>
    <col min="173" max="179" width="5.6640625" bestFit="1" customWidth="1"/>
    <col min="180" max="180" width="4.6640625" bestFit="1" customWidth="1"/>
    <col min="181" max="187" width="5.6640625" bestFit="1" customWidth="1"/>
    <col min="188" max="188" width="4.6640625" bestFit="1" customWidth="1"/>
    <col min="189" max="195" width="5.6640625" bestFit="1" customWidth="1"/>
    <col min="196" max="196" width="4.6640625" bestFit="1" customWidth="1"/>
    <col min="197" max="203" width="5.6640625" bestFit="1" customWidth="1"/>
    <col min="204" max="204" width="4.6640625" bestFit="1" customWidth="1"/>
    <col min="205" max="211" width="5.6640625" bestFit="1" customWidth="1"/>
    <col min="212" max="212" width="4.6640625" bestFit="1" customWidth="1"/>
    <col min="213" max="219" width="5.6640625" bestFit="1" customWidth="1"/>
    <col min="220" max="220" width="4.6640625" bestFit="1" customWidth="1"/>
    <col min="221" max="227" width="5.6640625" bestFit="1" customWidth="1"/>
    <col min="228" max="228" width="4.6640625" bestFit="1" customWidth="1"/>
    <col min="229" max="235" width="5.6640625" bestFit="1" customWidth="1"/>
    <col min="236" max="236" width="4.6640625" bestFit="1" customWidth="1"/>
    <col min="237" max="243" width="5.6640625" bestFit="1" customWidth="1"/>
    <col min="244" max="244" width="4.6640625" bestFit="1" customWidth="1"/>
    <col min="245" max="251" width="5.6640625" bestFit="1" customWidth="1"/>
    <col min="252" max="252" width="4.6640625" bestFit="1" customWidth="1"/>
    <col min="253" max="259" width="5.6640625" bestFit="1" customWidth="1"/>
    <col min="260" max="260" width="4.6640625" bestFit="1" customWidth="1"/>
    <col min="261" max="267" width="5.6640625" bestFit="1" customWidth="1"/>
    <col min="268" max="268" width="4.6640625" bestFit="1" customWidth="1"/>
    <col min="269" max="275" width="5.6640625" bestFit="1" customWidth="1"/>
    <col min="276" max="276" width="4.6640625" bestFit="1" customWidth="1"/>
    <col min="277" max="283" width="5.6640625" bestFit="1" customWidth="1"/>
    <col min="284" max="284" width="4.6640625" bestFit="1" customWidth="1"/>
    <col min="285" max="291" width="5.6640625" bestFit="1" customWidth="1"/>
    <col min="292" max="292" width="4.6640625" bestFit="1" customWidth="1"/>
    <col min="293" max="299" width="5.6640625" bestFit="1" customWidth="1"/>
    <col min="300" max="300" width="4.6640625" bestFit="1" customWidth="1"/>
    <col min="301" max="307" width="5.6640625" bestFit="1" customWidth="1"/>
    <col min="308" max="308" width="4.6640625" bestFit="1" customWidth="1"/>
    <col min="309" max="315" width="5.6640625" bestFit="1" customWidth="1"/>
    <col min="316" max="316" width="4.6640625" bestFit="1" customWidth="1"/>
    <col min="317" max="323" width="5.6640625" bestFit="1" customWidth="1"/>
    <col min="324" max="324" width="4.6640625" bestFit="1" customWidth="1"/>
    <col min="325" max="331" width="5.6640625" bestFit="1" customWidth="1"/>
    <col min="332" max="332" width="4.6640625" bestFit="1" customWidth="1"/>
    <col min="333" max="339" width="5.6640625" bestFit="1" customWidth="1"/>
    <col min="340" max="340" width="4.6640625" bestFit="1" customWidth="1"/>
    <col min="341" max="347" width="5.6640625" bestFit="1" customWidth="1"/>
    <col min="348" max="348" width="4.6640625" bestFit="1" customWidth="1"/>
    <col min="349" max="355" width="5.6640625" bestFit="1" customWidth="1"/>
    <col min="356" max="356" width="4.6640625" bestFit="1" customWidth="1"/>
    <col min="357" max="363" width="5.6640625" bestFit="1" customWidth="1"/>
    <col min="364" max="364" width="4.6640625" bestFit="1" customWidth="1"/>
    <col min="365" max="371" width="5.6640625" bestFit="1" customWidth="1"/>
    <col min="372" max="372" width="4.6640625" bestFit="1" customWidth="1"/>
    <col min="373" max="379" width="5.6640625" bestFit="1" customWidth="1"/>
    <col min="380" max="380" width="4.6640625" bestFit="1" customWidth="1"/>
    <col min="381" max="387" width="5.6640625" bestFit="1" customWidth="1"/>
    <col min="388" max="388" width="4.6640625" bestFit="1" customWidth="1"/>
    <col min="389" max="395" width="5.6640625" bestFit="1" customWidth="1"/>
    <col min="396" max="396" width="4.6640625" bestFit="1" customWidth="1"/>
    <col min="397" max="403" width="5.6640625" bestFit="1" customWidth="1"/>
    <col min="404" max="404" width="4.6640625" bestFit="1" customWidth="1"/>
    <col min="405" max="411" width="5.6640625" bestFit="1" customWidth="1"/>
    <col min="412" max="412" width="4.6640625" bestFit="1" customWidth="1"/>
    <col min="413" max="419" width="5.6640625" bestFit="1" customWidth="1"/>
    <col min="420" max="420" width="10.5546875" bestFit="1" customWidth="1"/>
  </cols>
  <sheetData>
    <row r="5" spans="1:20">
      <c r="A5" t="s">
        <v>0</v>
      </c>
      <c r="E5" t="s">
        <v>4</v>
      </c>
    </row>
    <row r="6" spans="1:20">
      <c r="A6" s="15">
        <v>506</v>
      </c>
      <c r="D6" s="3" t="s">
        <v>5</v>
      </c>
      <c r="E6" s="15">
        <v>19</v>
      </c>
      <c r="M6" t="s">
        <v>1</v>
      </c>
      <c r="P6" t="s">
        <v>2</v>
      </c>
    </row>
    <row r="7" spans="1:20">
      <c r="D7" s="3" t="s">
        <v>6</v>
      </c>
      <c r="E7" s="15">
        <v>24</v>
      </c>
      <c r="L7" s="3" t="s">
        <v>5</v>
      </c>
      <c r="M7" s="1">
        <v>34.526315789473685</v>
      </c>
      <c r="O7" s="3" t="s">
        <v>5</v>
      </c>
      <c r="P7" s="1">
        <v>7.2</v>
      </c>
    </row>
    <row r="8" spans="1:20">
      <c r="D8" s="3" t="s">
        <v>7</v>
      </c>
      <c r="E8" s="15">
        <v>24</v>
      </c>
      <c r="L8" s="3" t="s">
        <v>6</v>
      </c>
      <c r="M8" s="1">
        <v>33.708333333333336</v>
      </c>
      <c r="O8" s="3" t="s">
        <v>6</v>
      </c>
      <c r="P8" s="1">
        <v>6</v>
      </c>
    </row>
    <row r="9" spans="1:20">
      <c r="D9" s="3" t="s">
        <v>8</v>
      </c>
      <c r="E9" s="15">
        <v>14</v>
      </c>
      <c r="L9" s="3" t="s">
        <v>7</v>
      </c>
      <c r="M9" s="1">
        <v>36.291666666666664</v>
      </c>
      <c r="O9" s="3" t="s">
        <v>7</v>
      </c>
      <c r="P9" s="1">
        <v>1.5</v>
      </c>
    </row>
    <row r="10" spans="1:20">
      <c r="D10" s="3" t="s">
        <v>9</v>
      </c>
      <c r="E10" s="15">
        <v>14</v>
      </c>
      <c r="L10" s="3" t="s">
        <v>8</v>
      </c>
      <c r="M10" s="1">
        <v>35.071428571428569</v>
      </c>
      <c r="O10" s="3" t="s">
        <v>8</v>
      </c>
      <c r="P10" s="1">
        <v>2.75</v>
      </c>
    </row>
    <row r="11" spans="1:20">
      <c r="D11" s="3" t="s">
        <v>10</v>
      </c>
      <c r="E11" s="15">
        <v>16</v>
      </c>
      <c r="L11" s="3" t="s">
        <v>9</v>
      </c>
      <c r="M11" s="1">
        <v>31.571428571428573</v>
      </c>
      <c r="O11" s="3" t="s">
        <v>9</v>
      </c>
      <c r="P11" s="1">
        <v>5</v>
      </c>
    </row>
    <row r="12" spans="1:20">
      <c r="A12" t="s">
        <v>1</v>
      </c>
      <c r="D12" s="3" t="s">
        <v>11</v>
      </c>
      <c r="E12" s="15">
        <v>26</v>
      </c>
      <c r="L12" s="3" t="s">
        <v>10</v>
      </c>
      <c r="M12" s="1">
        <v>31.8125</v>
      </c>
      <c r="O12" s="3" t="s">
        <v>10</v>
      </c>
      <c r="P12" s="1">
        <v>5.5</v>
      </c>
    </row>
    <row r="13" spans="1:20">
      <c r="A13" s="1">
        <v>35.879446640316203</v>
      </c>
      <c r="D13" s="3" t="s">
        <v>12</v>
      </c>
      <c r="E13" s="15">
        <v>14</v>
      </c>
      <c r="L13" s="3" t="s">
        <v>11</v>
      </c>
      <c r="M13" s="1">
        <v>36.846153846153847</v>
      </c>
      <c r="O13" s="3" t="s">
        <v>11</v>
      </c>
      <c r="P13" s="1">
        <v>5.0909090909090908</v>
      </c>
    </row>
    <row r="14" spans="1:20">
      <c r="D14" s="3" t="s">
        <v>13</v>
      </c>
      <c r="E14" s="15">
        <v>22</v>
      </c>
      <c r="L14" s="3" t="s">
        <v>12</v>
      </c>
      <c r="M14" s="1">
        <v>34.071428571428569</v>
      </c>
      <c r="O14" s="3" t="s">
        <v>12</v>
      </c>
      <c r="P14" s="1">
        <v>7.666666666666667</v>
      </c>
      <c r="R14" s="4" t="s">
        <v>36</v>
      </c>
      <c r="S14" t="s">
        <v>54</v>
      </c>
      <c r="T14" t="s">
        <v>55</v>
      </c>
    </row>
    <row r="15" spans="1:20">
      <c r="D15" s="3" t="s">
        <v>14</v>
      </c>
      <c r="E15" s="15">
        <v>18</v>
      </c>
      <c r="L15" s="3" t="s">
        <v>13</v>
      </c>
      <c r="M15" s="1">
        <v>33</v>
      </c>
      <c r="O15" s="3" t="s">
        <v>13</v>
      </c>
      <c r="P15" s="1">
        <v>3.5</v>
      </c>
      <c r="R15" s="3" t="s">
        <v>45</v>
      </c>
      <c r="S15" s="15">
        <v>253</v>
      </c>
      <c r="T15" s="5">
        <v>0.5</v>
      </c>
    </row>
    <row r="16" spans="1:20">
      <c r="D16" s="3" t="s">
        <v>15</v>
      </c>
      <c r="E16" s="15">
        <v>20</v>
      </c>
      <c r="L16" s="3" t="s">
        <v>14</v>
      </c>
      <c r="M16" s="1">
        <v>40.222222222222221</v>
      </c>
      <c r="O16" s="3" t="s">
        <v>14</v>
      </c>
      <c r="P16" s="1">
        <v>3.6666666666666665</v>
      </c>
      <c r="R16" s="3" t="s">
        <v>48</v>
      </c>
      <c r="S16" s="15">
        <v>253</v>
      </c>
      <c r="T16" s="5">
        <v>0.5</v>
      </c>
    </row>
    <row r="17" spans="1:21">
      <c r="D17" s="3" t="s">
        <v>16</v>
      </c>
      <c r="E17" s="15">
        <v>13</v>
      </c>
      <c r="L17" s="3" t="s">
        <v>15</v>
      </c>
      <c r="M17" s="1">
        <v>42.05</v>
      </c>
      <c r="O17" s="3" t="s">
        <v>15</v>
      </c>
      <c r="P17" s="1">
        <v>3.8</v>
      </c>
      <c r="R17" s="3" t="s">
        <v>3</v>
      </c>
      <c r="S17" s="15">
        <v>506</v>
      </c>
      <c r="T17" s="5">
        <v>1</v>
      </c>
    </row>
    <row r="18" spans="1:21">
      <c r="A18" t="s">
        <v>2</v>
      </c>
      <c r="D18" s="3" t="s">
        <v>17</v>
      </c>
      <c r="E18" s="15">
        <v>13</v>
      </c>
      <c r="L18" s="3" t="s">
        <v>16</v>
      </c>
      <c r="M18" s="1">
        <v>42.615384615384613</v>
      </c>
      <c r="O18" s="3" t="s">
        <v>16</v>
      </c>
      <c r="P18" s="1">
        <v>1</v>
      </c>
    </row>
    <row r="19" spans="1:21">
      <c r="A19" s="1">
        <v>5.3277310924369745</v>
      </c>
      <c r="D19" s="3" t="s">
        <v>18</v>
      </c>
      <c r="E19" s="15">
        <v>14</v>
      </c>
      <c r="L19" s="3" t="s">
        <v>17</v>
      </c>
      <c r="M19" s="1">
        <v>40.46153846153846</v>
      </c>
      <c r="O19" s="3" t="s">
        <v>17</v>
      </c>
      <c r="P19" s="1">
        <v>7</v>
      </c>
    </row>
    <row r="20" spans="1:21">
      <c r="D20" s="3" t="s">
        <v>19</v>
      </c>
      <c r="E20" s="15">
        <v>13</v>
      </c>
      <c r="L20" s="3" t="s">
        <v>18</v>
      </c>
      <c r="M20" s="1">
        <v>34.071428571428569</v>
      </c>
      <c r="O20" s="3" t="s">
        <v>18</v>
      </c>
      <c r="P20" s="1">
        <v>5</v>
      </c>
    </row>
    <row r="21" spans="1:21">
      <c r="D21" s="3" t="s">
        <v>20</v>
      </c>
      <c r="E21" s="15">
        <v>18</v>
      </c>
      <c r="L21" s="3" t="s">
        <v>19</v>
      </c>
      <c r="M21" s="1">
        <v>33.92307692307692</v>
      </c>
      <c r="O21" s="3" t="s">
        <v>19</v>
      </c>
      <c r="P21" s="1">
        <v>4.25</v>
      </c>
    </row>
    <row r="22" spans="1:21">
      <c r="D22" s="3" t="s">
        <v>21</v>
      </c>
      <c r="E22" s="15">
        <v>12</v>
      </c>
      <c r="L22" s="3" t="s">
        <v>20</v>
      </c>
      <c r="M22" s="1">
        <v>43.166666666666664</v>
      </c>
      <c r="O22" s="3" t="s">
        <v>20</v>
      </c>
      <c r="P22" s="1">
        <v>4</v>
      </c>
    </row>
    <row r="23" spans="1:21">
      <c r="D23" s="3" t="s">
        <v>22</v>
      </c>
      <c r="E23" s="15">
        <v>11</v>
      </c>
      <c r="L23" s="3" t="s">
        <v>21</v>
      </c>
      <c r="M23" s="1">
        <v>42.25</v>
      </c>
      <c r="O23" s="3" t="s">
        <v>21</v>
      </c>
      <c r="P23" s="1">
        <v>7.333333333333333</v>
      </c>
    </row>
    <row r="24" spans="1:21">
      <c r="D24" s="3" t="s">
        <v>23</v>
      </c>
      <c r="E24" s="15">
        <v>14</v>
      </c>
      <c r="L24" s="3" t="s">
        <v>22</v>
      </c>
      <c r="M24" s="1">
        <v>44.090909090909093</v>
      </c>
      <c r="O24" s="3" t="s">
        <v>22</v>
      </c>
      <c r="P24" s="1">
        <v>9</v>
      </c>
    </row>
    <row r="25" spans="1:21">
      <c r="D25" s="3" t="s">
        <v>24</v>
      </c>
      <c r="E25" s="15">
        <v>12</v>
      </c>
      <c r="L25" s="3" t="s">
        <v>23</v>
      </c>
      <c r="M25" s="1">
        <v>39</v>
      </c>
      <c r="O25" s="3" t="s">
        <v>23</v>
      </c>
      <c r="P25" s="1">
        <v>5.25</v>
      </c>
    </row>
    <row r="26" spans="1:21">
      <c r="D26" s="3" t="s">
        <v>25</v>
      </c>
      <c r="E26" s="15">
        <v>16</v>
      </c>
      <c r="L26" s="3" t="s">
        <v>24</v>
      </c>
      <c r="M26" s="1">
        <v>31.25</v>
      </c>
      <c r="O26" s="3" t="s">
        <v>24</v>
      </c>
      <c r="P26" s="1">
        <v>6.6</v>
      </c>
    </row>
    <row r="27" spans="1:21">
      <c r="D27" s="3" t="s">
        <v>26</v>
      </c>
      <c r="E27" s="15">
        <v>16</v>
      </c>
      <c r="L27" s="3" t="s">
        <v>25</v>
      </c>
      <c r="M27" s="1">
        <v>28.5</v>
      </c>
      <c r="O27" s="3" t="s">
        <v>25</v>
      </c>
      <c r="P27" s="1">
        <v>6.25</v>
      </c>
    </row>
    <row r="28" spans="1:21">
      <c r="D28" s="3" t="s">
        <v>27</v>
      </c>
      <c r="E28" s="15">
        <v>15</v>
      </c>
      <c r="L28" s="3" t="s">
        <v>26</v>
      </c>
      <c r="M28" s="1">
        <v>34.0625</v>
      </c>
      <c r="O28" s="3" t="s">
        <v>26</v>
      </c>
      <c r="P28" s="1">
        <v>6.333333333333333</v>
      </c>
      <c r="S28" s="4" t="s">
        <v>36</v>
      </c>
      <c r="T28" t="s">
        <v>54</v>
      </c>
      <c r="U28" t="s">
        <v>55</v>
      </c>
    </row>
    <row r="29" spans="1:21">
      <c r="D29" s="3" t="s">
        <v>28</v>
      </c>
      <c r="E29" s="15">
        <v>22</v>
      </c>
      <c r="L29" s="3" t="s">
        <v>27</v>
      </c>
      <c r="M29" s="1">
        <v>25.2</v>
      </c>
      <c r="O29" s="3" t="s">
        <v>27</v>
      </c>
      <c r="P29" s="1">
        <v>7</v>
      </c>
      <c r="S29" s="3" t="s">
        <v>45</v>
      </c>
      <c r="T29" s="15">
        <v>253</v>
      </c>
      <c r="U29" s="5">
        <v>0.5</v>
      </c>
    </row>
    <row r="30" spans="1:21">
      <c r="D30" s="3" t="s">
        <v>29</v>
      </c>
      <c r="E30" s="15">
        <v>18</v>
      </c>
      <c r="L30" s="3" t="s">
        <v>28</v>
      </c>
      <c r="M30" s="1">
        <v>35.863636363636367</v>
      </c>
      <c r="O30" s="3" t="s">
        <v>28</v>
      </c>
      <c r="P30" s="1">
        <v>5.666666666666667</v>
      </c>
      <c r="S30" s="3" t="s">
        <v>48</v>
      </c>
      <c r="T30" s="15">
        <v>253</v>
      </c>
      <c r="U30" s="5">
        <v>0.5</v>
      </c>
    </row>
    <row r="31" spans="1:21">
      <c r="D31" s="3" t="s">
        <v>30</v>
      </c>
      <c r="E31" s="15">
        <v>10</v>
      </c>
      <c r="L31" s="3" t="s">
        <v>29</v>
      </c>
      <c r="M31" s="1">
        <v>39.833333333333336</v>
      </c>
      <c r="O31" s="3" t="s">
        <v>29</v>
      </c>
      <c r="P31" s="1">
        <v>3.3333333333333335</v>
      </c>
      <c r="S31" s="3" t="s">
        <v>3</v>
      </c>
      <c r="T31" s="15">
        <v>506</v>
      </c>
      <c r="U31" s="5">
        <v>1</v>
      </c>
    </row>
    <row r="32" spans="1:21">
      <c r="D32" s="3" t="s">
        <v>31</v>
      </c>
      <c r="E32" s="15">
        <v>17</v>
      </c>
      <c r="L32" s="3" t="s">
        <v>30</v>
      </c>
      <c r="M32" s="1">
        <v>37</v>
      </c>
      <c r="O32" s="3" t="s">
        <v>30</v>
      </c>
      <c r="P32" s="1">
        <v>4.75</v>
      </c>
    </row>
    <row r="33" spans="4:31">
      <c r="D33" s="3" t="s">
        <v>32</v>
      </c>
      <c r="E33" s="15">
        <v>17</v>
      </c>
      <c r="L33" s="3" t="s">
        <v>31</v>
      </c>
      <c r="M33" s="1">
        <v>39.411764705882355</v>
      </c>
      <c r="O33" s="3" t="s">
        <v>31</v>
      </c>
      <c r="P33" s="1">
        <v>2</v>
      </c>
    </row>
    <row r="34" spans="4:31">
      <c r="D34" s="3" t="s">
        <v>33</v>
      </c>
      <c r="E34" s="15">
        <v>12</v>
      </c>
      <c r="L34" s="3" t="s">
        <v>32</v>
      </c>
      <c r="M34" s="1">
        <v>30.294117647058822</v>
      </c>
      <c r="O34" s="3" t="s">
        <v>32</v>
      </c>
      <c r="P34" s="1">
        <v>9.25</v>
      </c>
    </row>
    <row r="35" spans="4:31">
      <c r="D35" s="3" t="s">
        <v>34</v>
      </c>
      <c r="E35" s="15">
        <v>14</v>
      </c>
      <c r="L35" s="3" t="s">
        <v>33</v>
      </c>
      <c r="M35" s="1">
        <v>32.666666666666664</v>
      </c>
      <c r="O35" s="3" t="s">
        <v>33</v>
      </c>
      <c r="P35" s="1">
        <v>2.6666666666666665</v>
      </c>
    </row>
    <row r="36" spans="4:31">
      <c r="D36" s="3" t="s">
        <v>35</v>
      </c>
      <c r="E36" s="15">
        <v>18</v>
      </c>
      <c r="L36" s="3" t="s">
        <v>34</v>
      </c>
      <c r="M36" s="1">
        <v>30.571428571428573</v>
      </c>
      <c r="O36" s="3" t="s">
        <v>34</v>
      </c>
      <c r="P36" s="1">
        <v>4</v>
      </c>
    </row>
    <row r="37" spans="4:31">
      <c r="D37" s="3" t="s">
        <v>3</v>
      </c>
      <c r="E37" s="15">
        <v>506</v>
      </c>
      <c r="L37" s="3" t="s">
        <v>35</v>
      </c>
      <c r="M37" s="1">
        <v>39.055555555555557</v>
      </c>
      <c r="O37" s="3" t="s">
        <v>35</v>
      </c>
      <c r="P37" s="1">
        <v>8.75</v>
      </c>
    </row>
    <row r="38" spans="4:31">
      <c r="L38" s="3" t="s">
        <v>3</v>
      </c>
      <c r="M38" s="1">
        <v>35.879446640316203</v>
      </c>
      <c r="O38" s="3" t="s">
        <v>3</v>
      </c>
      <c r="P38" s="1">
        <v>5.3277310924369745</v>
      </c>
      <c r="S38" s="9" t="e" vm="1">
        <v>#VALUE!</v>
      </c>
    </row>
    <row r="44" spans="4:31">
      <c r="E44" s="4" t="s">
        <v>36</v>
      </c>
      <c r="F44" t="s">
        <v>62</v>
      </c>
      <c r="T44" s="6" t="s">
        <v>56</v>
      </c>
      <c r="U44" s="8" t="s">
        <v>58</v>
      </c>
      <c r="V44" s="6" t="s">
        <v>57</v>
      </c>
      <c r="W44" s="6"/>
      <c r="X44" s="6"/>
      <c r="Y44" s="6"/>
      <c r="Z44" s="6"/>
      <c r="AA44" s="6"/>
      <c r="AB44" s="6"/>
      <c r="AC44" s="6"/>
      <c r="AD44" s="6"/>
      <c r="AE44" s="6"/>
    </row>
    <row r="45" spans="4:31">
      <c r="E45" s="3" t="s">
        <v>47</v>
      </c>
      <c r="F45" s="15">
        <v>231</v>
      </c>
      <c r="T45" s="6" t="str">
        <f>S30</f>
        <v>Not Admitted</v>
      </c>
      <c r="U45" s="8">
        <f>T30</f>
        <v>253</v>
      </c>
      <c r="V45" s="7">
        <f>U30</f>
        <v>0.5</v>
      </c>
      <c r="W45" s="6"/>
      <c r="X45" s="6"/>
      <c r="Y45" s="6"/>
      <c r="Z45" s="6"/>
      <c r="AA45" s="6"/>
      <c r="AB45" s="6"/>
      <c r="AC45" s="6"/>
      <c r="AD45" s="6"/>
      <c r="AE45" s="6"/>
    </row>
    <row r="46" spans="4:31">
      <c r="E46" s="3" t="s">
        <v>43</v>
      </c>
      <c r="F46" s="15">
        <v>275</v>
      </c>
      <c r="T46" s="6" t="str">
        <f>S29</f>
        <v>Admitted</v>
      </c>
      <c r="U46" s="8">
        <f>T29</f>
        <v>253</v>
      </c>
      <c r="V46" s="7">
        <f>U29</f>
        <v>0.5</v>
      </c>
      <c r="W46" s="6"/>
      <c r="X46" s="6"/>
      <c r="Y46" s="6"/>
      <c r="Z46" s="6"/>
      <c r="AA46" s="6"/>
      <c r="AB46" s="6"/>
      <c r="AC46" s="6"/>
      <c r="AD46" s="6"/>
      <c r="AE46" s="6"/>
    </row>
    <row r="47" spans="4:31">
      <c r="E47" s="3" t="s">
        <v>3</v>
      </c>
      <c r="F47" s="15">
        <v>506</v>
      </c>
    </row>
    <row r="58" spans="3:4">
      <c r="C58" s="4" t="s">
        <v>36</v>
      </c>
      <c r="D58" t="s">
        <v>4</v>
      </c>
    </row>
    <row r="59" spans="3:4">
      <c r="C59" s="3" t="s">
        <v>65</v>
      </c>
      <c r="D59" s="15">
        <v>3</v>
      </c>
    </row>
    <row r="60" spans="3:4">
      <c r="C60" s="3" t="s">
        <v>53</v>
      </c>
      <c r="D60" s="15">
        <v>5</v>
      </c>
    </row>
    <row r="61" spans="3:4">
      <c r="C61" s="3" t="s">
        <v>63</v>
      </c>
      <c r="D61" s="15">
        <v>6</v>
      </c>
    </row>
    <row r="62" spans="3:4">
      <c r="C62" s="3" t="s">
        <v>64</v>
      </c>
      <c r="D62" s="15">
        <v>14</v>
      </c>
    </row>
    <row r="63" spans="3:4">
      <c r="C63" s="3" t="s">
        <v>52</v>
      </c>
      <c r="D63" s="15">
        <v>15</v>
      </c>
    </row>
    <row r="64" spans="3:4">
      <c r="C64" s="3" t="s">
        <v>51</v>
      </c>
      <c r="D64" s="15">
        <v>59</v>
      </c>
    </row>
    <row r="65" spans="3:4">
      <c r="C65" s="3" t="s">
        <v>50</v>
      </c>
      <c r="D65" s="15">
        <v>93</v>
      </c>
    </row>
    <row r="66" spans="3:4">
      <c r="C66" s="3" t="s">
        <v>44</v>
      </c>
      <c r="D66" s="15">
        <v>311</v>
      </c>
    </row>
    <row r="67" spans="3:4">
      <c r="C67" s="3" t="s">
        <v>3</v>
      </c>
      <c r="D67" s="15">
        <v>506</v>
      </c>
    </row>
    <row r="71" spans="3:4">
      <c r="C71" s="4" t="s">
        <v>36</v>
      </c>
    </row>
    <row r="72" spans="3:4">
      <c r="C72" s="3" t="s">
        <v>66</v>
      </c>
    </row>
    <row r="73" spans="3:4">
      <c r="C73" s="10" t="s">
        <v>68</v>
      </c>
    </row>
    <row r="74" spans="3:4">
      <c r="C74" s="11" t="s">
        <v>69</v>
      </c>
    </row>
    <row r="75" spans="3:4">
      <c r="C75" s="12">
        <v>44986</v>
      </c>
    </row>
    <row r="76" spans="3:4">
      <c r="C76" s="12">
        <v>44987</v>
      </c>
    </row>
    <row r="77" spans="3:4">
      <c r="C77" s="12">
        <v>44988</v>
      </c>
    </row>
    <row r="78" spans="3:4">
      <c r="C78" s="12">
        <v>44989</v>
      </c>
    </row>
    <row r="79" spans="3:4">
      <c r="C79" s="12">
        <v>44990</v>
      </c>
    </row>
    <row r="80" spans="3:4">
      <c r="C80" s="12">
        <v>44991</v>
      </c>
    </row>
    <row r="81" spans="3:19">
      <c r="C81" s="12">
        <v>44992</v>
      </c>
    </row>
    <row r="82" spans="3:19">
      <c r="C82" s="12">
        <v>44993</v>
      </c>
    </row>
    <row r="83" spans="3:19">
      <c r="C83" s="12">
        <v>44994</v>
      </c>
    </row>
    <row r="84" spans="3:19">
      <c r="C84" s="12">
        <v>44995</v>
      </c>
    </row>
    <row r="85" spans="3:19">
      <c r="C85" s="12">
        <v>44996</v>
      </c>
    </row>
    <row r="86" spans="3:19">
      <c r="C86" s="12">
        <v>44997</v>
      </c>
    </row>
    <row r="87" spans="3:19">
      <c r="C87" s="12">
        <v>44998</v>
      </c>
      <c r="R87" s="4" t="s">
        <v>36</v>
      </c>
      <c r="S87" t="s">
        <v>61</v>
      </c>
    </row>
    <row r="88" spans="3:19">
      <c r="C88" s="12">
        <v>44999</v>
      </c>
      <c r="R88" s="3" t="s">
        <v>37</v>
      </c>
      <c r="S88" s="15">
        <v>64</v>
      </c>
    </row>
    <row r="89" spans="3:19">
      <c r="C89" s="12">
        <v>45000</v>
      </c>
      <c r="R89" s="3" t="s">
        <v>38</v>
      </c>
      <c r="S89" s="15">
        <v>66</v>
      </c>
    </row>
    <row r="90" spans="3:19">
      <c r="C90" s="12">
        <v>45001</v>
      </c>
      <c r="R90" s="3" t="s">
        <v>39</v>
      </c>
      <c r="S90" s="15">
        <v>65</v>
      </c>
    </row>
    <row r="91" spans="3:19">
      <c r="C91" s="12">
        <v>45002</v>
      </c>
      <c r="R91" s="3" t="s">
        <v>40</v>
      </c>
      <c r="S91" s="15">
        <v>73</v>
      </c>
    </row>
    <row r="92" spans="3:19">
      <c r="C92" s="12">
        <v>45003</v>
      </c>
      <c r="R92" s="3" t="s">
        <v>59</v>
      </c>
      <c r="S92" s="15">
        <v>45</v>
      </c>
    </row>
    <row r="93" spans="3:19">
      <c r="C93" s="12">
        <v>45004</v>
      </c>
      <c r="R93" s="3" t="s">
        <v>41</v>
      </c>
      <c r="S93" s="15">
        <v>72</v>
      </c>
    </row>
    <row r="94" spans="3:19">
      <c r="C94" s="12">
        <v>45005</v>
      </c>
      <c r="R94" s="3" t="s">
        <v>42</v>
      </c>
      <c r="S94" s="15">
        <v>74</v>
      </c>
    </row>
    <row r="95" spans="3:19">
      <c r="C95" s="12">
        <v>45006</v>
      </c>
      <c r="R95" s="3" t="s">
        <v>60</v>
      </c>
      <c r="S95" s="15">
        <v>47</v>
      </c>
    </row>
    <row r="96" spans="3:19">
      <c r="C96" s="12">
        <v>45007</v>
      </c>
      <c r="R96" s="3" t="s">
        <v>3</v>
      </c>
      <c r="S96" s="15">
        <v>506</v>
      </c>
    </row>
    <row r="97" spans="3:20">
      <c r="C97" s="12">
        <v>45008</v>
      </c>
    </row>
    <row r="98" spans="3:20">
      <c r="C98" s="12">
        <v>45009</v>
      </c>
    </row>
    <row r="99" spans="3:20">
      <c r="C99" s="12">
        <v>45010</v>
      </c>
    </row>
    <row r="100" spans="3:20">
      <c r="C100" s="12">
        <v>45011</v>
      </c>
    </row>
    <row r="101" spans="3:20">
      <c r="C101" s="12">
        <v>45012</v>
      </c>
    </row>
    <row r="102" spans="3:20">
      <c r="C102" s="12">
        <v>45013</v>
      </c>
    </row>
    <row r="103" spans="3:20">
      <c r="C103" s="12">
        <v>45014</v>
      </c>
    </row>
    <row r="104" spans="3:20">
      <c r="C104" s="12">
        <v>45015</v>
      </c>
    </row>
    <row r="105" spans="3:20">
      <c r="C105" s="12">
        <v>45016</v>
      </c>
    </row>
    <row r="106" spans="3:20">
      <c r="C106" s="3" t="s">
        <v>67</v>
      </c>
    </row>
    <row r="107" spans="3:20">
      <c r="C107" s="10" t="s">
        <v>68</v>
      </c>
    </row>
    <row r="108" spans="3:20">
      <c r="C108" s="11" t="s">
        <v>69</v>
      </c>
      <c r="S108" s="4" t="s">
        <v>36</v>
      </c>
      <c r="T108" t="s">
        <v>4</v>
      </c>
    </row>
    <row r="109" spans="3:20">
      <c r="C109" s="12">
        <v>45352</v>
      </c>
      <c r="S109" s="3" t="s">
        <v>49</v>
      </c>
      <c r="T109" s="15">
        <v>312</v>
      </c>
    </row>
    <row r="110" spans="3:20">
      <c r="C110" s="12">
        <v>45353</v>
      </c>
      <c r="S110" s="3" t="s">
        <v>46</v>
      </c>
      <c r="T110" s="15">
        <v>194</v>
      </c>
    </row>
    <row r="111" spans="3:20">
      <c r="C111" s="12">
        <v>45354</v>
      </c>
      <c r="S111" s="3" t="s">
        <v>3</v>
      </c>
      <c r="T111" s="15">
        <v>506</v>
      </c>
    </row>
    <row r="112" spans="3:20">
      <c r="C112" s="12">
        <v>45355</v>
      </c>
    </row>
    <row r="113" spans="3:3">
      <c r="C113" s="12">
        <v>45356</v>
      </c>
    </row>
    <row r="114" spans="3:3">
      <c r="C114" s="12">
        <v>45357</v>
      </c>
    </row>
    <row r="115" spans="3:3">
      <c r="C115" s="12">
        <v>45358</v>
      </c>
    </row>
    <row r="116" spans="3:3">
      <c r="C116" s="12">
        <v>45359</v>
      </c>
    </row>
    <row r="117" spans="3:3">
      <c r="C117" s="12">
        <v>45360</v>
      </c>
    </row>
    <row r="118" spans="3:3">
      <c r="C118" s="12">
        <v>45361</v>
      </c>
    </row>
    <row r="119" spans="3:3">
      <c r="C119" s="12">
        <v>45362</v>
      </c>
    </row>
    <row r="120" spans="3:3">
      <c r="C120" s="12">
        <v>45363</v>
      </c>
    </row>
    <row r="121" spans="3:3">
      <c r="C121" s="12">
        <v>45364</v>
      </c>
    </row>
    <row r="122" spans="3:3">
      <c r="C122" s="12">
        <v>45365</v>
      </c>
    </row>
    <row r="123" spans="3:3">
      <c r="C123" s="12">
        <v>45366</v>
      </c>
    </row>
    <row r="124" spans="3:3">
      <c r="C124" s="12">
        <v>45367</v>
      </c>
    </row>
    <row r="125" spans="3:3">
      <c r="C125" s="12">
        <v>45368</v>
      </c>
    </row>
    <row r="126" spans="3:3">
      <c r="C126" s="12">
        <v>45369</v>
      </c>
    </row>
    <row r="127" spans="3:3">
      <c r="C127" s="12">
        <v>45370</v>
      </c>
    </row>
    <row r="128" spans="3:3">
      <c r="C128" s="12">
        <v>45371</v>
      </c>
    </row>
    <row r="129" spans="3:3">
      <c r="C129" s="12">
        <v>45372</v>
      </c>
    </row>
    <row r="130" spans="3:3">
      <c r="C130" s="12">
        <v>45373</v>
      </c>
    </row>
    <row r="131" spans="3:3">
      <c r="C131" s="12">
        <v>45374</v>
      </c>
    </row>
    <row r="132" spans="3:3">
      <c r="C132" s="12">
        <v>45375</v>
      </c>
    </row>
    <row r="133" spans="3:3">
      <c r="C133" s="12">
        <v>45376</v>
      </c>
    </row>
    <row r="134" spans="3:3">
      <c r="C134" s="12">
        <v>45377</v>
      </c>
    </row>
    <row r="135" spans="3:3">
      <c r="C135" s="12">
        <v>45378</v>
      </c>
    </row>
    <row r="136" spans="3:3">
      <c r="C136" s="12">
        <v>45379</v>
      </c>
    </row>
    <row r="137" spans="3:3">
      <c r="C137" s="12">
        <v>45380</v>
      </c>
    </row>
    <row r="138" spans="3:3">
      <c r="C138" s="12">
        <v>45381</v>
      </c>
    </row>
    <row r="139" spans="3:3">
      <c r="C139" s="12">
        <v>45382</v>
      </c>
    </row>
    <row r="140" spans="3:3">
      <c r="C140" s="3" t="s">
        <v>3</v>
      </c>
    </row>
    <row r="208" spans="6:7">
      <c r="F208" s="4" t="s">
        <v>36</v>
      </c>
      <c r="G208" t="s">
        <v>4</v>
      </c>
    </row>
    <row r="209" spans="6:7">
      <c r="F209" s="13">
        <v>45352</v>
      </c>
      <c r="G209" s="15">
        <v>19</v>
      </c>
    </row>
    <row r="210" spans="6:7">
      <c r="F210" s="13">
        <v>45353</v>
      </c>
      <c r="G210" s="15">
        <v>24</v>
      </c>
    </row>
    <row r="211" spans="6:7">
      <c r="F211" s="13">
        <v>45354</v>
      </c>
      <c r="G211" s="15">
        <v>24</v>
      </c>
    </row>
    <row r="212" spans="6:7">
      <c r="F212" s="13">
        <v>45355</v>
      </c>
      <c r="G212" s="15">
        <v>14</v>
      </c>
    </row>
    <row r="213" spans="6:7">
      <c r="F213" s="13">
        <v>45356</v>
      </c>
      <c r="G213" s="15">
        <v>14</v>
      </c>
    </row>
    <row r="214" spans="6:7">
      <c r="F214" s="13">
        <v>45357</v>
      </c>
      <c r="G214" s="15">
        <v>16</v>
      </c>
    </row>
    <row r="215" spans="6:7">
      <c r="F215" s="13">
        <v>45358</v>
      </c>
      <c r="G215" s="15">
        <v>26</v>
      </c>
    </row>
    <row r="216" spans="6:7">
      <c r="F216" s="13">
        <v>45359</v>
      </c>
      <c r="G216" s="15">
        <v>14</v>
      </c>
    </row>
    <row r="217" spans="6:7">
      <c r="F217" s="13">
        <v>45360</v>
      </c>
      <c r="G217" s="15">
        <v>22</v>
      </c>
    </row>
    <row r="218" spans="6:7">
      <c r="F218" s="13">
        <v>45361</v>
      </c>
      <c r="G218" s="15">
        <v>18</v>
      </c>
    </row>
    <row r="219" spans="6:7">
      <c r="F219" s="13">
        <v>45362</v>
      </c>
      <c r="G219" s="15">
        <v>20</v>
      </c>
    </row>
    <row r="220" spans="6:7">
      <c r="F220" s="13">
        <v>45363</v>
      </c>
      <c r="G220" s="15">
        <v>13</v>
      </c>
    </row>
    <row r="221" spans="6:7">
      <c r="F221" s="13">
        <v>45364</v>
      </c>
      <c r="G221" s="15">
        <v>13</v>
      </c>
    </row>
    <row r="222" spans="6:7">
      <c r="F222" s="13">
        <v>45365</v>
      </c>
      <c r="G222" s="15">
        <v>14</v>
      </c>
    </row>
    <row r="223" spans="6:7">
      <c r="F223" s="13">
        <v>45366</v>
      </c>
      <c r="G223" s="15">
        <v>13</v>
      </c>
    </row>
    <row r="224" spans="6:7">
      <c r="F224" s="13">
        <v>45367</v>
      </c>
      <c r="G224" s="15">
        <v>18</v>
      </c>
    </row>
    <row r="225" spans="6:7">
      <c r="F225" s="13">
        <v>45368</v>
      </c>
      <c r="G225" s="15">
        <v>12</v>
      </c>
    </row>
    <row r="226" spans="6:7">
      <c r="F226" s="13">
        <v>45369</v>
      </c>
      <c r="G226" s="15">
        <v>11</v>
      </c>
    </row>
    <row r="227" spans="6:7">
      <c r="F227" s="13">
        <v>45370</v>
      </c>
      <c r="G227" s="15">
        <v>14</v>
      </c>
    </row>
    <row r="228" spans="6:7">
      <c r="F228" s="13">
        <v>45371</v>
      </c>
      <c r="G228" s="15">
        <v>12</v>
      </c>
    </row>
    <row r="229" spans="6:7">
      <c r="F229" s="13">
        <v>45372</v>
      </c>
      <c r="G229" s="15">
        <v>16</v>
      </c>
    </row>
    <row r="230" spans="6:7">
      <c r="F230" s="13">
        <v>45373</v>
      </c>
      <c r="G230" s="15">
        <v>16</v>
      </c>
    </row>
    <row r="231" spans="6:7">
      <c r="F231" s="13">
        <v>45374</v>
      </c>
      <c r="G231" s="15">
        <v>15</v>
      </c>
    </row>
    <row r="232" spans="6:7">
      <c r="F232" s="13">
        <v>45375</v>
      </c>
      <c r="G232" s="15">
        <v>22</v>
      </c>
    </row>
    <row r="233" spans="6:7">
      <c r="F233" s="13">
        <v>45376</v>
      </c>
      <c r="G233" s="15">
        <v>18</v>
      </c>
    </row>
    <row r="234" spans="6:7">
      <c r="F234" s="13">
        <v>45377</v>
      </c>
      <c r="G234" s="15">
        <v>10</v>
      </c>
    </row>
    <row r="235" spans="6:7">
      <c r="F235" s="13">
        <v>45378</v>
      </c>
      <c r="G235" s="15">
        <v>17</v>
      </c>
    </row>
    <row r="236" spans="6:7">
      <c r="F236" s="13">
        <v>45379</v>
      </c>
      <c r="G236" s="15">
        <v>17</v>
      </c>
    </row>
    <row r="237" spans="6:7">
      <c r="F237" s="13">
        <v>45380</v>
      </c>
      <c r="G237" s="15">
        <v>12</v>
      </c>
    </row>
    <row r="238" spans="6:7">
      <c r="F238" s="13">
        <v>45381</v>
      </c>
      <c r="G238" s="15">
        <v>14</v>
      </c>
    </row>
    <row r="239" spans="6:7">
      <c r="F239" s="13">
        <v>45382</v>
      </c>
      <c r="G239" s="15">
        <v>18</v>
      </c>
    </row>
    <row r="240" spans="6:7">
      <c r="F240" s="3" t="s">
        <v>3</v>
      </c>
      <c r="G240" s="15">
        <v>506</v>
      </c>
    </row>
  </sheetData>
  <pageMargins left="0.7" right="0.7" top="0.75" bottom="0.75" header="0.3" footer="0.3"/>
  <drawing r:id="rId16"/>
  <legacyDrawing r:id="rId17"/>
  <extLst>
    <ext xmlns:x14="http://schemas.microsoft.com/office/spreadsheetml/2009/9/main" uri="{A8765BA9-456A-4dab-B4F3-ACF838C121DE}">
      <x14:slicerList>
        <x14:slicer r:id="rId18"/>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91099-49FD-412D-A1F8-56B65D3FDC17}">
  <dimension ref="A1:V26"/>
  <sheetViews>
    <sheetView showGridLines="0" zoomScale="102" zoomScaleNormal="102" workbookViewId="0">
      <selection activeCell="T14" sqref="T14"/>
    </sheetView>
  </sheetViews>
  <sheetFormatPr defaultRowHeight="14.4"/>
  <sheetData>
    <row r="1" spans="1:22">
      <c r="A1" s="2"/>
      <c r="B1" s="2"/>
      <c r="C1" s="2"/>
      <c r="D1" s="2"/>
      <c r="E1" s="2"/>
      <c r="F1" s="2"/>
      <c r="G1" s="2"/>
      <c r="H1" s="2"/>
      <c r="I1" s="2"/>
      <c r="J1" s="2"/>
      <c r="K1" s="2"/>
      <c r="L1" s="2"/>
      <c r="M1" s="2"/>
      <c r="N1" s="2"/>
      <c r="O1" s="2"/>
      <c r="P1" s="2"/>
      <c r="Q1" s="2"/>
      <c r="R1" s="2"/>
      <c r="S1" s="2"/>
      <c r="T1" s="2"/>
    </row>
    <row r="2" spans="1:22">
      <c r="A2" s="2"/>
      <c r="B2" s="2"/>
      <c r="C2" s="2"/>
      <c r="D2" s="2"/>
      <c r="E2" s="2"/>
      <c r="F2" s="2"/>
      <c r="G2" s="2"/>
      <c r="H2" s="2"/>
      <c r="I2" s="2"/>
      <c r="J2" s="2"/>
      <c r="K2" s="2"/>
      <c r="L2" s="2"/>
      <c r="M2" s="2"/>
      <c r="N2" s="2"/>
      <c r="O2" s="2"/>
      <c r="P2" s="2"/>
      <c r="Q2" s="2"/>
      <c r="R2" s="2"/>
      <c r="S2" s="2"/>
      <c r="T2" s="2"/>
    </row>
    <row r="3" spans="1:22">
      <c r="A3" s="2"/>
      <c r="B3" s="2"/>
      <c r="C3" s="2"/>
      <c r="D3" s="2"/>
      <c r="E3" s="2"/>
      <c r="F3" s="2"/>
      <c r="G3" s="2"/>
      <c r="H3" s="2"/>
      <c r="I3" s="2"/>
      <c r="J3" s="2"/>
      <c r="K3" s="2"/>
      <c r="L3" s="2"/>
      <c r="M3" s="2"/>
      <c r="N3" s="2"/>
      <c r="O3" s="2"/>
      <c r="P3" s="2"/>
      <c r="Q3" s="2"/>
      <c r="R3" s="2"/>
      <c r="S3" s="2"/>
      <c r="T3" s="2"/>
    </row>
    <row r="4" spans="1:22">
      <c r="A4" s="2"/>
      <c r="B4" s="2"/>
      <c r="C4" s="2"/>
      <c r="D4" s="2"/>
      <c r="E4" s="2"/>
      <c r="F4" s="2"/>
      <c r="G4" s="2"/>
      <c r="H4" s="2"/>
      <c r="I4" s="2"/>
      <c r="J4" s="2"/>
      <c r="K4" s="2"/>
      <c r="L4" s="2"/>
      <c r="M4" s="2"/>
      <c r="N4" s="2"/>
      <c r="O4" s="2"/>
      <c r="P4" s="2"/>
      <c r="Q4" s="2"/>
      <c r="R4" s="2"/>
      <c r="S4" s="2"/>
      <c r="T4" s="2"/>
    </row>
    <row r="5" spans="1:22">
      <c r="A5" s="2"/>
      <c r="B5" s="2"/>
      <c r="C5" s="2"/>
      <c r="D5" s="2"/>
      <c r="E5" s="2"/>
      <c r="F5" s="2"/>
      <c r="G5" s="2"/>
      <c r="H5" s="2"/>
      <c r="I5" s="2"/>
      <c r="J5" s="2"/>
      <c r="K5" s="2"/>
      <c r="L5" s="2"/>
      <c r="M5" s="2"/>
      <c r="N5" s="2"/>
      <c r="O5" s="2"/>
      <c r="P5" s="2"/>
      <c r="Q5" s="2"/>
      <c r="R5" s="2"/>
      <c r="S5" s="2"/>
      <c r="T5" s="2"/>
    </row>
    <row r="6" spans="1:22">
      <c r="A6" s="2"/>
      <c r="B6" s="2"/>
      <c r="C6" s="2"/>
      <c r="D6" s="2"/>
      <c r="E6" s="2"/>
      <c r="F6" s="2"/>
      <c r="G6" s="2"/>
      <c r="H6" s="2"/>
      <c r="I6" s="2"/>
      <c r="J6" s="2"/>
      <c r="K6" s="2"/>
      <c r="L6" s="2"/>
      <c r="M6" s="2"/>
      <c r="N6" s="2"/>
      <c r="O6" s="2"/>
      <c r="P6" s="2"/>
      <c r="Q6" s="2"/>
      <c r="R6" s="2"/>
      <c r="S6" s="2"/>
      <c r="T6" s="2"/>
    </row>
    <row r="7" spans="1:22">
      <c r="A7" s="2"/>
      <c r="B7" s="2"/>
      <c r="C7" s="2"/>
      <c r="D7" s="2"/>
      <c r="E7" s="2"/>
      <c r="F7" s="2"/>
      <c r="G7" s="2"/>
      <c r="H7" s="2"/>
      <c r="I7" s="2"/>
      <c r="J7" s="2"/>
      <c r="K7" s="2"/>
      <c r="L7" s="2"/>
      <c r="M7" s="2"/>
      <c r="N7" s="2"/>
      <c r="O7" s="2"/>
      <c r="P7" s="2"/>
      <c r="Q7" s="2"/>
      <c r="R7" s="2"/>
      <c r="S7" s="2"/>
      <c r="T7" s="2"/>
    </row>
    <row r="8" spans="1:22">
      <c r="A8" s="2"/>
      <c r="B8" s="2"/>
      <c r="C8" s="2"/>
      <c r="D8" s="2"/>
      <c r="E8" s="2"/>
      <c r="F8" s="2"/>
      <c r="G8" s="2"/>
      <c r="H8" s="2"/>
      <c r="I8" s="2"/>
      <c r="J8" s="2"/>
      <c r="K8" s="2"/>
      <c r="L8" s="2"/>
      <c r="M8" s="2"/>
      <c r="N8" s="2"/>
      <c r="O8" s="2"/>
      <c r="P8" s="2"/>
      <c r="Q8" s="2"/>
      <c r="R8" s="2"/>
      <c r="S8" s="2"/>
      <c r="T8" s="2"/>
    </row>
    <row r="9" spans="1:22">
      <c r="A9" s="2"/>
      <c r="B9" s="2"/>
      <c r="C9" s="2"/>
      <c r="D9" s="2"/>
      <c r="E9" s="2"/>
      <c r="F9" s="2"/>
      <c r="G9" s="2"/>
      <c r="H9" s="2"/>
      <c r="I9" s="2"/>
      <c r="J9" s="2"/>
      <c r="K9" s="2"/>
      <c r="L9" s="2"/>
      <c r="M9" s="2"/>
      <c r="N9" s="2"/>
      <c r="O9" s="2"/>
      <c r="P9" s="2"/>
      <c r="Q9" s="2"/>
      <c r="R9" s="2"/>
      <c r="S9" s="2"/>
      <c r="T9" s="2"/>
    </row>
    <row r="10" spans="1:22">
      <c r="A10" s="2"/>
      <c r="B10" s="2"/>
      <c r="C10" s="2"/>
      <c r="D10" s="2"/>
      <c r="E10" s="2"/>
      <c r="F10" s="2"/>
      <c r="G10" s="2"/>
      <c r="H10" s="2"/>
      <c r="I10" s="2"/>
      <c r="J10" s="2"/>
      <c r="K10" s="2"/>
      <c r="L10" s="2"/>
      <c r="M10" s="2"/>
      <c r="N10" s="2"/>
      <c r="O10" s="2"/>
      <c r="P10" s="2"/>
      <c r="Q10" s="2"/>
      <c r="R10" s="2"/>
      <c r="S10" s="2"/>
      <c r="T10" s="2"/>
    </row>
    <row r="11" spans="1:22">
      <c r="A11" s="2"/>
      <c r="B11" s="2"/>
      <c r="C11" s="2"/>
      <c r="D11" s="2"/>
      <c r="E11" s="2"/>
      <c r="F11" s="2"/>
      <c r="G11" s="2"/>
      <c r="H11" s="2"/>
      <c r="I11" s="2"/>
      <c r="J11" s="2"/>
      <c r="K11" s="2"/>
      <c r="L11" s="2"/>
      <c r="M11" s="2"/>
      <c r="N11" s="2"/>
      <c r="O11" s="2"/>
      <c r="P11" s="2"/>
      <c r="Q11" s="2"/>
      <c r="R11" s="2"/>
      <c r="S11" s="2"/>
      <c r="T11" s="2"/>
    </row>
    <row r="12" spans="1:22">
      <c r="A12" s="2"/>
      <c r="B12" s="2"/>
      <c r="C12" s="2"/>
      <c r="D12" s="2"/>
      <c r="E12" s="2"/>
      <c r="F12" s="2"/>
      <c r="G12" s="2"/>
      <c r="H12" s="2"/>
      <c r="I12" s="2"/>
      <c r="J12" s="2"/>
      <c r="K12" s="2"/>
      <c r="L12" s="2"/>
      <c r="M12" s="2"/>
      <c r="N12" s="2"/>
      <c r="O12" s="2"/>
      <c r="P12" s="2"/>
      <c r="Q12" s="2"/>
      <c r="R12" s="2"/>
      <c r="S12" s="2"/>
      <c r="T12" s="2"/>
    </row>
    <row r="13" spans="1:22">
      <c r="A13" s="2"/>
      <c r="B13" s="2"/>
      <c r="C13" s="2"/>
      <c r="D13" s="2"/>
      <c r="E13" s="2"/>
      <c r="F13" s="2"/>
      <c r="G13" s="2"/>
      <c r="H13" s="2"/>
      <c r="I13" s="2"/>
      <c r="J13" s="2"/>
      <c r="K13" s="2"/>
      <c r="L13" s="2"/>
      <c r="M13" s="2"/>
      <c r="N13" s="2"/>
      <c r="O13" s="2"/>
      <c r="P13" s="2"/>
      <c r="Q13" s="2"/>
      <c r="R13" s="2"/>
      <c r="S13" s="2"/>
      <c r="T13" s="2"/>
      <c r="V13" s="14"/>
    </row>
    <row r="14" spans="1:22">
      <c r="A14" s="2"/>
      <c r="B14" s="2"/>
      <c r="C14" s="2"/>
      <c r="D14" s="2"/>
      <c r="E14" s="2"/>
      <c r="F14" s="2"/>
      <c r="G14" s="2"/>
      <c r="H14" s="2"/>
      <c r="I14" s="2"/>
      <c r="J14" s="2"/>
      <c r="K14" s="2"/>
      <c r="L14" s="2"/>
      <c r="M14" s="2"/>
      <c r="N14" s="2"/>
      <c r="O14" s="2"/>
      <c r="P14" s="2"/>
      <c r="Q14" s="2"/>
      <c r="R14" s="2"/>
      <c r="S14" s="2"/>
      <c r="T14" s="2"/>
    </row>
    <row r="15" spans="1:22">
      <c r="A15" s="2"/>
      <c r="B15" s="2"/>
      <c r="C15" s="2"/>
      <c r="D15" s="2"/>
      <c r="E15" s="2"/>
      <c r="F15" s="2"/>
      <c r="G15" s="2"/>
      <c r="H15" s="2"/>
      <c r="I15" s="2"/>
      <c r="J15" s="2"/>
      <c r="K15" s="2"/>
      <c r="L15" s="2"/>
      <c r="M15" s="2"/>
      <c r="N15" s="2"/>
      <c r="O15" s="2"/>
      <c r="P15" s="2"/>
      <c r="Q15" s="2"/>
      <c r="R15" s="2"/>
      <c r="S15" s="2"/>
      <c r="T15" s="2"/>
    </row>
    <row r="16" spans="1:22">
      <c r="A16" s="2"/>
      <c r="B16" s="2"/>
      <c r="C16" s="2"/>
      <c r="D16" s="2"/>
      <c r="E16" s="2"/>
      <c r="F16" s="2"/>
      <c r="G16" s="2"/>
      <c r="H16" s="2"/>
      <c r="I16" s="2"/>
      <c r="J16" s="2"/>
      <c r="K16" s="2"/>
      <c r="L16" s="2"/>
      <c r="M16" s="2"/>
      <c r="N16" s="2"/>
      <c r="O16" s="2"/>
      <c r="P16" s="2"/>
      <c r="Q16" s="2"/>
      <c r="R16" s="2"/>
      <c r="S16" s="2"/>
      <c r="T16" s="2"/>
    </row>
    <row r="17" spans="1:20">
      <c r="A17" s="2"/>
      <c r="B17" s="2"/>
      <c r="C17" s="2"/>
      <c r="D17" s="2"/>
      <c r="E17" s="2"/>
      <c r="F17" s="2"/>
      <c r="G17" s="2"/>
      <c r="H17" s="2"/>
      <c r="I17" s="2"/>
      <c r="J17" s="2"/>
      <c r="K17" s="2"/>
      <c r="L17" s="2"/>
      <c r="M17" s="2"/>
      <c r="N17" s="2"/>
      <c r="O17" s="2"/>
      <c r="P17" s="2"/>
      <c r="Q17" s="2"/>
      <c r="R17" s="2"/>
      <c r="S17" s="2"/>
      <c r="T17" s="2"/>
    </row>
    <row r="18" spans="1:20">
      <c r="A18" s="2"/>
      <c r="B18" s="2"/>
      <c r="C18" s="2"/>
      <c r="D18" s="2"/>
      <c r="E18" s="2"/>
      <c r="F18" s="2"/>
      <c r="G18" s="2"/>
      <c r="H18" s="2"/>
      <c r="I18" s="2"/>
      <c r="J18" s="2"/>
      <c r="K18" s="2"/>
      <c r="L18" s="2"/>
      <c r="M18" s="2"/>
      <c r="N18" s="2"/>
      <c r="O18" s="2"/>
      <c r="P18" s="2"/>
      <c r="Q18" s="2"/>
      <c r="R18" s="2"/>
      <c r="S18" s="2"/>
      <c r="T18" s="2"/>
    </row>
    <row r="19" spans="1:20">
      <c r="A19" s="2"/>
      <c r="B19" s="2"/>
      <c r="C19" s="2"/>
      <c r="D19" s="2"/>
      <c r="E19" s="2"/>
      <c r="F19" s="2"/>
      <c r="G19" s="2"/>
      <c r="H19" s="2"/>
      <c r="I19" s="2"/>
      <c r="J19" s="2"/>
      <c r="K19" s="2"/>
      <c r="L19" s="2"/>
      <c r="M19" s="2"/>
      <c r="N19" s="2"/>
      <c r="O19" s="2"/>
      <c r="P19" s="2"/>
      <c r="Q19" s="2"/>
      <c r="R19" s="2"/>
      <c r="S19" s="2"/>
      <c r="T19" s="2"/>
    </row>
    <row r="20" spans="1:20">
      <c r="A20" s="2"/>
      <c r="B20" s="2"/>
      <c r="C20" s="2"/>
      <c r="D20" s="2"/>
      <c r="E20" s="2"/>
      <c r="F20" s="2"/>
      <c r="G20" s="2"/>
      <c r="H20" s="2"/>
      <c r="I20" s="2"/>
      <c r="J20" s="2"/>
      <c r="K20" s="2"/>
      <c r="L20" s="2"/>
      <c r="M20" s="2"/>
      <c r="N20" s="2"/>
      <c r="O20" s="2"/>
      <c r="P20" s="2"/>
      <c r="Q20" s="2"/>
      <c r="R20" s="2"/>
      <c r="S20" s="2"/>
      <c r="T20" s="2"/>
    </row>
    <row r="21" spans="1:20">
      <c r="A21" s="2"/>
      <c r="B21" s="2"/>
      <c r="C21" s="2"/>
      <c r="D21" s="2"/>
      <c r="E21" s="2"/>
      <c r="F21" s="2"/>
      <c r="G21" s="2"/>
      <c r="H21" s="2"/>
      <c r="I21" s="2"/>
      <c r="J21" s="2"/>
      <c r="K21" s="2"/>
      <c r="L21" s="2"/>
      <c r="M21" s="2"/>
      <c r="N21" s="2"/>
      <c r="O21" s="2"/>
      <c r="P21" s="2"/>
      <c r="Q21" s="2"/>
      <c r="R21" s="2"/>
      <c r="S21" s="2"/>
      <c r="T21" s="2"/>
    </row>
    <row r="22" spans="1:20">
      <c r="A22" s="2"/>
      <c r="B22" s="2"/>
      <c r="C22" s="2"/>
      <c r="D22" s="2"/>
      <c r="E22" s="2"/>
      <c r="F22" s="2"/>
      <c r="G22" s="2"/>
      <c r="H22" s="2"/>
      <c r="I22" s="2"/>
      <c r="J22" s="2"/>
      <c r="K22" s="2"/>
      <c r="L22" s="2"/>
      <c r="M22" s="2"/>
      <c r="N22" s="2"/>
      <c r="O22" s="2"/>
      <c r="P22" s="2"/>
      <c r="Q22" s="2"/>
      <c r="R22" s="2"/>
      <c r="S22" s="2"/>
      <c r="T22" s="2"/>
    </row>
    <row r="23" spans="1:20">
      <c r="A23" s="2"/>
      <c r="B23" s="2"/>
      <c r="C23" s="2"/>
      <c r="D23" s="2"/>
      <c r="E23" s="2"/>
      <c r="F23" s="2"/>
      <c r="G23" s="2"/>
      <c r="H23" s="2"/>
      <c r="I23" s="2"/>
      <c r="J23" s="2"/>
      <c r="K23" s="2"/>
      <c r="L23" s="2"/>
      <c r="M23" s="2"/>
      <c r="N23" s="2"/>
      <c r="O23" s="2"/>
      <c r="P23" s="2"/>
      <c r="Q23" s="2"/>
      <c r="R23" s="2"/>
      <c r="S23" s="2"/>
      <c r="T23" s="2"/>
    </row>
    <row r="24" spans="1:20">
      <c r="A24" s="2"/>
      <c r="B24" s="2"/>
      <c r="C24" s="2"/>
      <c r="D24" s="2"/>
      <c r="E24" s="2"/>
      <c r="F24" s="2"/>
      <c r="G24" s="2"/>
      <c r="H24" s="2"/>
      <c r="I24" s="2"/>
      <c r="J24" s="2"/>
      <c r="K24" s="2"/>
      <c r="L24" s="2"/>
      <c r="M24" s="2"/>
      <c r="N24" s="2"/>
      <c r="O24" s="2"/>
      <c r="P24" s="2"/>
      <c r="Q24" s="2"/>
      <c r="R24" s="2"/>
      <c r="S24" s="2"/>
      <c r="T24" s="2"/>
    </row>
    <row r="25" spans="1:20">
      <c r="A25" s="2"/>
      <c r="B25" s="2"/>
      <c r="C25" s="2"/>
      <c r="D25" s="2"/>
      <c r="E25" s="2"/>
      <c r="F25" s="2"/>
      <c r="G25" s="2"/>
      <c r="H25" s="2"/>
      <c r="I25" s="2"/>
      <c r="J25" s="2"/>
      <c r="K25" s="2"/>
      <c r="L25" s="2"/>
      <c r="M25" s="2"/>
      <c r="N25" s="2"/>
      <c r="O25" s="2"/>
      <c r="P25" s="2"/>
      <c r="Q25" s="2"/>
      <c r="R25" s="2"/>
      <c r="S25" s="2"/>
      <c r="T25" s="2"/>
    </row>
    <row r="26" spans="1:20">
      <c r="A26" s="2"/>
      <c r="B26" s="2"/>
      <c r="C26" s="2"/>
      <c r="D26" s="2"/>
      <c r="E26" s="2"/>
      <c r="F26" s="2"/>
      <c r="G26" s="2"/>
      <c r="H26" s="2"/>
      <c r="I26" s="2"/>
      <c r="J26" s="2"/>
      <c r="K26" s="2"/>
      <c r="L26" s="2"/>
      <c r="M26" s="2"/>
      <c r="N26" s="2"/>
      <c r="O26" s="2"/>
      <c r="P26" s="2"/>
      <c r="Q26" s="2"/>
      <c r="R26" s="2"/>
      <c r="S26" s="2"/>
      <c r="T26" s="2"/>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114BA-9DD9-409E-96A9-579352A9B3BF}">
  <dimension ref="A1"/>
  <sheetViews>
    <sheetView workbookViewId="0"/>
  </sheetViews>
  <sheetFormatPr defaultRowHeight="14.4"/>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C7D1A-A573-4D53-9E48-3AC0C60A22A7}">
  <dimension ref="A1"/>
  <sheetViews>
    <sheetView workbookViewId="0"/>
  </sheetViews>
  <sheetFormatPr defaultRowHeight="14.4"/>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F4AA3-EB84-432D-9D81-24CA589B9D5B}">
  <dimension ref="A1"/>
  <sheetViews>
    <sheetView tabSelected="1" workbookViewId="0">
      <selection activeCell="H26" sqref="H26"/>
    </sheetView>
  </sheetViews>
  <sheetFormatPr defaultRowHeight="14.4"/>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B4DCD2D-EFE1-4F1B-B8E6-5DA6C52C1DF4}">
  <ds:schemaRefs/>
</ds:datastoreItem>
</file>

<file path=customXml/itemProps2.xml><?xml version="1.0" encoding="utf-8"?>
<ds:datastoreItem xmlns:ds="http://schemas.openxmlformats.org/officeDocument/2006/customXml" ds:itemID="{A0648375-B203-472A-8195-00A2B109275B}">
  <ds:schemaRefs/>
</ds:datastoreItem>
</file>

<file path=customXml/itemProps3.xml><?xml version="1.0" encoding="utf-8"?>
<ds:datastoreItem xmlns:ds="http://schemas.openxmlformats.org/officeDocument/2006/customXml" ds:itemID="{B8675326-1739-4CD6-9591-6C1814396B94}">
  <ds:schemaRefs/>
</ds:datastoreItem>
</file>

<file path=customXml/itemProps4.xml><?xml version="1.0" encoding="utf-8"?>
<ds:datastoreItem xmlns:ds="http://schemas.openxmlformats.org/officeDocument/2006/customXml" ds:itemID="{44FE7F24-1CD8-49D6-A9B9-DBFF5796C6C7}">
  <ds:schemaRefs/>
</ds:datastoreItem>
</file>

<file path=customXml/itemProps5.xml><?xml version="1.0" encoding="utf-8"?>
<ds:datastoreItem xmlns:ds="http://schemas.openxmlformats.org/officeDocument/2006/customXml" ds:itemID="{3892A329-0548-4128-9540-74C53C1A7E8E}">
  <ds:schemaRefs/>
</ds:datastoreItem>
</file>

<file path=customXml/itemProps6.xml><?xml version="1.0" encoding="utf-8"?>
<ds:datastoreItem xmlns:ds="http://schemas.openxmlformats.org/officeDocument/2006/customXml" ds:itemID="{7B1119ED-2223-4394-AD0B-EECBF7363BB4}">
  <ds:schemaRefs>
    <ds:schemaRef ds:uri="http://schemas.microsoft.com/DataMashup"/>
  </ds:schemaRefs>
</ds:datastoreItem>
</file>

<file path=customXml/itemProps7.xml><?xml version="1.0" encoding="utf-8"?>
<ds:datastoreItem xmlns:ds="http://schemas.openxmlformats.org/officeDocument/2006/customXml" ds:itemID="{B5629A34-A903-4035-8D82-442447F97686}">
  <ds:schemaRefs/>
</ds:datastoreItem>
</file>

<file path=customXml/itemProps8.xml><?xml version="1.0" encoding="utf-8"?>
<ds:datastoreItem xmlns:ds="http://schemas.openxmlformats.org/officeDocument/2006/customXml" ds:itemID="{B858103D-6237-423A-96B0-127D97DA5FD8}">
  <ds:schemaRefs/>
</ds:datastoreItem>
</file>

<file path=customXml/itemProps9.xml><?xml version="1.0" encoding="utf-8"?>
<ds:datastoreItem xmlns:ds="http://schemas.openxmlformats.org/officeDocument/2006/customXml" ds:itemID="{D4702C0A-5146-49F7-86A7-93C5F9CBA370}">
  <ds:schemaRefs/>
</ds:datastoreItem>
</file>

<file path=customXml/itemProps10.xml><?xml version="1.0" encoding="utf-8"?>
<ds:datastoreItem xmlns:ds="http://schemas.openxmlformats.org/officeDocument/2006/customXml" ds:itemID="{8D9C482F-06C9-43BC-A698-E9A50928802C}">
  <ds:schemaRefs/>
</ds:datastoreItem>
</file>

<file path=customXml/itemProps11.xml><?xml version="1.0" encoding="utf-8"?>
<ds:datastoreItem xmlns:ds="http://schemas.openxmlformats.org/officeDocument/2006/customXml" ds:itemID="{29C59B82-21A3-4B17-8088-23422A0700CB}">
  <ds:schemaRefs/>
</ds:datastoreItem>
</file>

<file path=customXml/itemProps12.xml><?xml version="1.0" encoding="utf-8"?>
<ds:datastoreItem xmlns:ds="http://schemas.openxmlformats.org/officeDocument/2006/customXml" ds:itemID="{DA504046-CC15-4D55-97ED-AFDC576BE1E3}">
  <ds:schemaRefs/>
</ds:datastoreItem>
</file>

<file path=customXml/itemProps13.xml><?xml version="1.0" encoding="utf-8"?>
<ds:datastoreItem xmlns:ds="http://schemas.openxmlformats.org/officeDocument/2006/customXml" ds:itemID="{E6C81AB1-69F2-4621-AB25-88BE1D9A5ECA}">
  <ds:schemaRefs/>
</ds:datastoreItem>
</file>

<file path=customXml/itemProps14.xml><?xml version="1.0" encoding="utf-8"?>
<ds:datastoreItem xmlns:ds="http://schemas.openxmlformats.org/officeDocument/2006/customXml" ds:itemID="{472EB984-E6AE-4A8F-ADC7-9BFCAA4C06F5}">
  <ds:schemaRefs/>
</ds:datastoreItem>
</file>

<file path=customXml/itemProps15.xml><?xml version="1.0" encoding="utf-8"?>
<ds:datastoreItem xmlns:ds="http://schemas.openxmlformats.org/officeDocument/2006/customXml" ds:itemID="{C07DA3BF-A491-4D9A-9DF8-43644EE46FBC}">
  <ds:schemaRefs/>
</ds:datastoreItem>
</file>

<file path=customXml/itemProps16.xml><?xml version="1.0" encoding="utf-8"?>
<ds:datastoreItem xmlns:ds="http://schemas.openxmlformats.org/officeDocument/2006/customXml" ds:itemID="{7E81BFF1-14DD-4747-9DD4-8AF506FB2319}">
  <ds:schemaRefs/>
</ds:datastoreItem>
</file>

<file path=customXml/itemProps17.xml><?xml version="1.0" encoding="utf-8"?>
<ds:datastoreItem xmlns:ds="http://schemas.openxmlformats.org/officeDocument/2006/customXml" ds:itemID="{DB65D57E-7501-4F5B-A8B5-B4316301BEDB}">
  <ds:schemaRefs/>
</ds:datastoreItem>
</file>

<file path=customXml/itemProps18.xml><?xml version="1.0" encoding="utf-8"?>
<ds:datastoreItem xmlns:ds="http://schemas.openxmlformats.org/officeDocument/2006/customXml" ds:itemID="{26E65D5B-8E7A-4871-99C3-5D349F90D0E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Dashboard</vt:lpstr>
      <vt:lpstr>Daily Total Patients</vt:lpstr>
      <vt:lpstr>Daily Average Wait Time</vt:lpstr>
      <vt:lpstr>Daily Average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Anshul Kolhekar</dc:creator>
  <cp:lastModifiedBy>Anshul Kolhekar</cp:lastModifiedBy>
  <dcterms:created xsi:type="dcterms:W3CDTF">2026-08-11T11:13:13Z</dcterms:created>
  <dcterms:modified xsi:type="dcterms:W3CDTF">2026-08-25T13:53:53Z</dcterms:modified>
</cp:coreProperties>
</file>